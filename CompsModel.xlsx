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mps" sheetId="2" state="visible" r:id="rId2"/>
    <sheet xmlns:r="http://schemas.openxmlformats.org/officeDocument/2006/relationships" name="Valuation" sheetId="3" state="visible" r:id="rId3"/>
    <sheet xmlns:r="http://schemas.openxmlformats.org/officeDocument/2006/relationships" name="Peer Screen" sheetId="4" state="visible" r:id="rId4"/>
    <sheet xmlns:r="http://schemas.openxmlformats.org/officeDocument/2006/relationships" name="Lists" sheetId="5" state="visible" r:id="rId5"/>
    <sheet xmlns:r="http://schemas.openxmlformats.org/officeDocument/2006/relationships" name="Notes" sheetId="6" state="visible" r:id="rId6"/>
  </sheets>
  <definedNames>
    <definedName name="CompsInput">Dashboard!$C$4</definedName>
    <definedName name="CompsNumPeers">Dashboard!$C$5</definedName>
    <definedName name="CompsCustomPeers">Dashboard!$C$6</definedName>
    <definedName name="CompsStatus">Dashboard!$B$9</definedName>
    <definedName name="CompsSubtitle">Dashboard!$B$12</definedName>
    <definedName name="CompsProfile">Dashboard!$C$17</definedName>
    <definedName name="CompsProfileWhy">Dashboard!$B$18</definedName>
    <definedName name="CompsMultiples">Dashboard!$B$21:$C$26</definedName>
    <definedName name="CompsNotes">Dashboard!$B$33</definedName>
    <definedName name="CompsPeerTable">Dashboard!$B$38:$G$45</definedName>
    <definedName name="CompsData">Comps!$A$6:$T$14</definedName>
    <definedName name="CompsScreen">'Peer Screen'!$A$5:$N$29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.0&quot;x&quot;;(0.0&quot;x&quot;);&quot;-&quot;"/>
    <numFmt numFmtId="165" formatCode="#,##0.00;(#,##0.00);&quot;-&quot;"/>
    <numFmt numFmtId="166" formatCode="#,##0;(#,##0);&quot;-&quot;"/>
    <numFmt numFmtId="167" formatCode="0.0%;(0.0%);&quot;-&quot;"/>
    <numFmt numFmtId="168" formatCode="+0.0%;-0.0%;0.0%"/>
    <numFmt numFmtId="169" formatCode="0.0"/>
  </numFmts>
  <fonts count="2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008000"/>
      <sz val="10"/>
    </font>
    <font>
      <name val="Arial"/>
      <i val="1"/>
      <color rgb="00000000"/>
      <sz val="8"/>
    </font>
    <font>
      <name val="Arial"/>
      <b val="1"/>
      <color rgb="001F3864"/>
      <sz val="14"/>
    </font>
    <font>
      <name val="Arial"/>
      <i val="1"/>
      <color rgb="00000000"/>
      <sz val="9"/>
    </font>
    <font>
      <name val="Arial"/>
      <color rgb="000000FF"/>
      <sz val="8"/>
    </font>
    <font>
      <name val="Arial"/>
      <b val="1"/>
      <color rgb="000000FF"/>
      <sz val="10"/>
    </font>
    <font>
      <name val="Arial"/>
      <color rgb="000000FF"/>
      <sz val="10"/>
    </font>
    <font>
      <name val="Arial"/>
      <b val="1"/>
      <i val="1"/>
      <color rgb="00000000"/>
      <sz val="9"/>
    </font>
    <font>
      <name val="Arial"/>
      <b val="1"/>
      <color rgb="00008000"/>
      <sz val="10"/>
    </font>
    <font>
      <name val="Arial"/>
      <b val="1"/>
      <color rgb="001F3864"/>
      <sz val="16"/>
    </font>
    <font>
      <name val="Arial"/>
      <b val="1"/>
      <color rgb="000000FF"/>
      <sz val="12"/>
    </font>
    <font>
      <name val="Arial"/>
      <color rgb="00595959"/>
      <sz val="9"/>
    </font>
    <font>
      <name val="Arial"/>
      <i val="1"/>
      <color rgb="00595959"/>
      <sz val="9"/>
    </font>
    <font>
      <name val="Arial"/>
      <color rgb="00595959"/>
      <sz val="8"/>
    </font>
    <font>
      <name val="Arial"/>
      <b val="1"/>
      <color rgb="00008000"/>
      <sz val="12"/>
    </font>
    <font>
      <name val="Arial"/>
      <b val="1"/>
      <color rgb="001F3864"/>
      <sz val="10"/>
    </font>
    <font>
      <name val="Arial"/>
      <color rgb="00000000"/>
      <sz val="9"/>
    </font>
    <font>
      <name val="Arial"/>
      <color rgb="000000FF"/>
      <sz val="9"/>
    </font>
    <font>
      <name val="Arial"/>
      <i val="1"/>
      <color rgb="00595959"/>
      <sz val="8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3" fillId="0" borderId="0" pivotButton="0" quotePrefix="0" xfId="0"/>
    <xf numFmtId="0" fontId="2" fillId="0" borderId="0" pivotButton="0" quotePrefix="0" xfId="0"/>
    <xf numFmtId="0" fontId="14" fillId="5" borderId="0" pivotButton="0" quotePrefix="0" xfId="0"/>
    <xf numFmtId="0" fontId="15" fillId="0" borderId="0" pivotButton="0" quotePrefix="0" xfId="0"/>
    <xf numFmtId="0" fontId="10" fillId="5" borderId="0" applyAlignment="1" pivotButton="0" quotePrefix="0" xfId="0">
      <alignment horizontal="left" vertical="center"/>
    </xf>
    <xf numFmtId="0" fontId="10" fillId="5" borderId="0" pivotButton="0" quotePrefix="0" xfId="0"/>
    <xf numFmtId="0" fontId="16" fillId="0" borderId="0" pivotButton="0" quotePrefix="0" xfId="0"/>
    <xf numFmtId="0" fontId="6" fillId="0" borderId="0" pivotButton="0" quotePrefix="0" xfId="0"/>
    <xf numFmtId="0" fontId="17" fillId="0" borderId="0" pivotButton="0" quotePrefix="0" xfId="0"/>
    <xf numFmtId="165" fontId="18" fillId="0" borderId="0" applyAlignment="1" pivotButton="0" quotePrefix="0" xfId="0">
      <alignment horizontal="left" vertical="center"/>
    </xf>
    <xf numFmtId="166" fontId="18" fillId="0" borderId="0" applyAlignment="1" pivotButton="0" quotePrefix="0" xfId="0">
      <alignment horizontal="left" vertical="center"/>
    </xf>
    <xf numFmtId="167" fontId="18" fillId="0" borderId="0" applyAlignment="1" pivotButton="0" quotePrefix="0" xfId="0">
      <alignment horizontal="left" vertical="center"/>
    </xf>
    <xf numFmtId="0" fontId="19" fillId="0" borderId="0" pivotButton="0" quotePrefix="0" xfId="0"/>
    <xf numFmtId="0" fontId="20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center" vertical="center" wrapText="1"/>
    </xf>
    <xf numFmtId="0" fontId="9" fillId="5" borderId="0" pivotButton="0" quotePrefix="0" xfId="0"/>
    <xf numFmtId="0" fontId="10" fillId="5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right" vertical="center"/>
    </xf>
    <xf numFmtId="168" fontId="3" fillId="0" borderId="0" applyAlignment="1" pivotButton="0" quotePrefix="0" xfId="0">
      <alignment horizontal="right" vertical="center"/>
    </xf>
    <xf numFmtId="165" fontId="4" fillId="0" borderId="0" applyAlignment="1" pivotButton="0" quotePrefix="0" xfId="0">
      <alignment horizontal="right" vertical="center"/>
    </xf>
    <xf numFmtId="168" fontId="4" fillId="0" borderId="0" applyAlignment="1" pivotButton="0" quotePrefix="0" xfId="0">
      <alignment horizontal="right" vertical="center"/>
    </xf>
    <xf numFmtId="0" fontId="20" fillId="0" borderId="0" pivotButton="0" quotePrefix="0" xfId="0"/>
    <xf numFmtId="0" fontId="2" fillId="3" borderId="0" pivotButton="0" quotePrefix="0" xfId="0"/>
    <xf numFmtId="0" fontId="3" fillId="3" borderId="0" pivotButton="0" quotePrefix="0" xfId="0"/>
    <xf numFmtId="165" fontId="12" fillId="3" borderId="0" applyAlignment="1" pivotButton="0" quotePrefix="0" xfId="0">
      <alignment horizontal="right" vertical="center"/>
    </xf>
    <xf numFmtId="168" fontId="12" fillId="3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top" wrapText="1"/>
    </xf>
    <xf numFmtId="0" fontId="10" fillId="0" borderId="0" pivotButton="0" quotePrefix="0" xfId="0"/>
    <xf numFmtId="0" fontId="9" fillId="0" borderId="0" applyAlignment="1" pivotButton="0" quotePrefix="0" xfId="0">
      <alignment horizontal="center" vertical="center"/>
    </xf>
    <xf numFmtId="166" fontId="10" fillId="0" borderId="0" pivotButton="0" quotePrefix="0" xfId="0"/>
    <xf numFmtId="1" fontId="10" fillId="0" borderId="0" applyAlignment="1" pivotButton="0" quotePrefix="0" xfId="0">
      <alignment horizontal="center" vertical="center"/>
    </xf>
    <xf numFmtId="0" fontId="21" fillId="0" borderId="0" pivotButton="0" quotePrefix="0" xfId="0"/>
    <xf numFmtId="0" fontId="22" fillId="0" borderId="0" pivotButton="0" quotePrefix="0" xfId="0"/>
    <xf numFmtId="0" fontId="7" fillId="0" borderId="0" pivotButton="0" quotePrefix="0" xfId="0"/>
    <xf numFmtId="0" fontId="5" fillId="0" borderId="0" applyAlignment="1" pivotButton="0" quotePrefix="0" xfId="0">
      <alignment horizontal="right" vertical="center"/>
    </xf>
    <xf numFmtId="164" fontId="8" fillId="0" borderId="0" applyAlignment="1" pivotButton="0" quotePrefix="0" xfId="0">
      <alignment horizontal="center" vertical="center"/>
    </xf>
    <xf numFmtId="0" fontId="9" fillId="3" borderId="0" pivotButton="0" quotePrefix="0" xfId="0"/>
    <xf numFmtId="165" fontId="9" fillId="3" borderId="0" pivotButton="0" quotePrefix="0" xfId="0"/>
    <xf numFmtId="166" fontId="9" fillId="3" borderId="0" pivotButton="0" quotePrefix="0" xfId="0"/>
    <xf numFmtId="167" fontId="9" fillId="3" borderId="0" pivotButton="0" quotePrefix="0" xfId="0"/>
    <xf numFmtId="166" fontId="2" fillId="3" borderId="0" applyAlignment="1" pivotButton="0" quotePrefix="0" xfId="0">
      <alignment horizontal="right" vertical="center"/>
    </xf>
    <xf numFmtId="164" fontId="2" fillId="3" borderId="0" applyAlignment="1" pivotButton="0" quotePrefix="0" xfId="0">
      <alignment horizontal="right" vertical="center"/>
    </xf>
    <xf numFmtId="165" fontId="10" fillId="0" borderId="0" pivotButton="0" quotePrefix="0" xfId="0"/>
    <xf numFmtId="167" fontId="10" fillId="0" borderId="0" pivotButton="0" quotePrefix="0" xfId="0"/>
    <xf numFmtId="166" fontId="3" fillId="0" borderId="0" applyAlignment="1" pivotButton="0" quotePrefix="0" xfId="0">
      <alignment horizontal="right" vertical="center"/>
    </xf>
    <xf numFmtId="164" fontId="3" fillId="0" borderId="0" applyAlignment="1" pivotButton="0" quotePrefix="0" xfId="0">
      <alignment horizontal="right" vertical="center"/>
    </xf>
    <xf numFmtId="0" fontId="11" fillId="0" borderId="0" pivotButton="0" quotePrefix="0" xfId="0"/>
    <xf numFmtId="0" fontId="2" fillId="4" borderId="0" pivotButton="0" quotePrefix="0" xfId="0"/>
    <xf numFmtId="167" fontId="3" fillId="4" borderId="0" applyAlignment="1" pivotButton="0" quotePrefix="0" xfId="0">
      <alignment horizontal="right" vertical="center"/>
    </xf>
    <xf numFmtId="164" fontId="3" fillId="4" borderId="0" applyAlignment="1" pivotButton="0" quotePrefix="0" xfId="0">
      <alignment horizontal="right" vertical="center"/>
    </xf>
    <xf numFmtId="168" fontId="2" fillId="3" borderId="0" applyAlignment="1" pivotButton="0" quotePrefix="0" xfId="0">
      <alignment horizontal="right" vertical="center"/>
    </xf>
    <xf numFmtId="0" fontId="5" fillId="0" borderId="0" pivotButton="0" quotePrefix="0" xfId="0"/>
    <xf numFmtId="165" fontId="4" fillId="0" borderId="0" pivotButton="0" quotePrefix="0" xfId="0"/>
    <xf numFmtId="166" fontId="3" fillId="0" borderId="0" pivotButton="0" quotePrefix="0" xfId="0"/>
    <xf numFmtId="0" fontId="1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center" vertical="center"/>
    </xf>
    <xf numFmtId="165" fontId="2" fillId="3" borderId="0" applyAlignment="1" pivotButton="0" quotePrefix="0" xfId="0">
      <alignment horizontal="right" vertical="center"/>
    </xf>
    <xf numFmtId="0" fontId="9" fillId="0" borderId="0" pivotButton="0" quotePrefix="0" xfId="0"/>
    <xf numFmtId="169" fontId="10" fillId="0" borderId="0" pivotButton="0" quotePrefix="0" xfId="0"/>
    <xf numFmtId="169" fontId="9" fillId="0" borderId="0" pivotButton="0" quotePrefix="0" xfId="0"/>
    <xf numFmtId="164" fontId="4" fillId="0" borderId="0" pivotButton="0" quotePrefix="0" xfId="0"/>
    <xf numFmtId="0" fontId="3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dxfs count="2">
    <dxf>
      <font>
        <name val="Arial"/>
        <color rgb="00C00000"/>
      </font>
    </dxf>
    <dxf>
      <fill>
        <patternFill patternType="solid">
          <fgColor rgb="002E75B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Comps</author>
  </authors>
  <commentList>
    <comment ref="W4" authorId="0" shapeId="0">
      <text>
        <t>Multiples above this cap (or with a negative denominator) show as NM and are excluded from peer statistics. Edit to change.</t>
      </text>
    </comment>
    <comment ref="X4" authorId="0" shapeId="0">
      <text>
        <t>Multiples above this cap (or with a negative denominator) show as NM and are excluded from peer statistics. Edit to change.</t>
      </text>
    </comment>
    <comment ref="Y4" authorId="0" shapeId="0">
      <text>
        <t>Multiples above this cap (or with a negative denominator) show as NM and are excluded from peer statistics. Edit to change.</t>
      </text>
    </comment>
    <comment ref="Z4" authorId="0" shapeId="0">
      <text>
        <t>Multiples above this cap (or with a negative denominator) show as NM and are excluded from peer statistics. Edit to change.</t>
      </text>
    </comment>
    <comment ref="AA4" authorId="0" shapeId="0">
      <text>
        <t>Multiples above this cap (or with a negative denominator) show as NM and are excluded from peer statistics. Edit to change.</t>
      </text>
    </comment>
    <comment ref="AB4" authorId="0" shapeId="0">
      <text>
        <t>Multiples above this cap (or with a negative denominator) show as NM and are excluded from peer statistics. Edit to change.</t>
      </text>
    </comment>
    <comment ref="AC4" authorId="0" shapeId="0">
      <text>
        <t>Multiples above this cap (or with a negative denominator) show as NM and are excluded from peer statistics. Edit to change.</t>
      </text>
    </comment>
    <comment ref="AD4" authorId="0" shapeId="0">
      <text>
        <t>Multiples above this cap (or with a negative denominator) show as NM and are excluded from peer statistics. Edit to change.</t>
      </text>
    </comment>
    <comment ref="AE4" authorId="0" shapeId="0">
      <text>
        <t>Multiples above this cap (or with a negative denominator) show as NM and are excluded from peer statistics. Edit to change.</t>
      </text>
    </comment>
    <comment ref="AF4" authorId="0" shapeId="0">
      <text>
        <t>Multiples above this cap (or with a negative denominator) show as NM and are excluded from peer statistics. Edit to change.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I4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16" customWidth="1" min="3" max="3"/>
    <col width="22" customWidth="1" min="4" max="4"/>
    <col width="16" customWidth="1" min="5" max="5"/>
    <col width="18" customWidth="1" min="6" max="6"/>
    <col width="18" customWidth="1" min="7" max="7"/>
    <col width="12" customWidth="1" min="8" max="8"/>
    <col width="70" customWidth="1" min="9" max="9"/>
  </cols>
  <sheetData>
    <row r="2">
      <c r="B2" s="1" t="inlineStr">
        <is>
          <t>SMIF Comps Analyzer</t>
        </is>
      </c>
    </row>
    <row r="4">
      <c r="B4" s="2" t="inlineStr">
        <is>
          <t>Company name or ticker</t>
        </is>
      </c>
      <c r="C4" s="3" t="inlineStr">
        <is>
          <t>AMZN</t>
        </is>
      </c>
      <c r="E4" s="4" t="inlineStr">
        <is>
          <t>① Type a company or ticker in the yellow cell</t>
        </is>
      </c>
    </row>
    <row r="5">
      <c r="B5" s="2" t="inlineStr">
        <is>
          <t>Number of peers (3–8)</t>
        </is>
      </c>
      <c r="C5" s="5" t="n">
        <v>5</v>
      </c>
      <c r="E5" s="4" t="inlineStr">
        <is>
          <t>② Click the xlwings tab → Run main (or your Refresh button)</t>
        </is>
      </c>
    </row>
    <row r="6">
      <c r="B6" s="2" t="inlineStr">
        <is>
          <t>Custom peers (optional)</t>
        </is>
      </c>
      <c r="C6" s="6" t="n"/>
      <c r="E6" s="4" t="inlineStr">
        <is>
          <t>③ Leave custom peers blank to auto-pick, or list tickers: MSFT, GOOGL</t>
        </is>
      </c>
    </row>
    <row r="9">
      <c r="B9" s="7" t="inlineStr">
        <is>
          <t>SAMPLE DATA (illustrative, not live) – type a company in the yellow cell, then click xlwings ▸ Run main to load live Yahoo Finance data.</t>
        </is>
      </c>
    </row>
    <row r="11">
      <c r="B11" s="8">
        <f>IF(Comps!$A$6="","",Comps!$B$6&amp;" ("&amp;Comps!$A$6&amp;")")</f>
        <v/>
      </c>
    </row>
    <row r="12">
      <c r="B12" s="4" t="inlineStr">
        <is>
          <t>Consumer Cyclical · Internet Retail · USD</t>
        </is>
      </c>
    </row>
    <row r="14">
      <c r="B14" s="9" t="inlineStr">
        <is>
          <t>Share price</t>
        </is>
      </c>
      <c r="C14" s="9" t="inlineStr">
        <is>
          <t>Market cap ($mm)</t>
        </is>
      </c>
      <c r="D14" s="9" t="inlineStr">
        <is>
          <t>Enterprise value ($mm)</t>
        </is>
      </c>
      <c r="E14" s="9" t="inlineStr">
        <is>
          <t>Revenue growth</t>
        </is>
      </c>
      <c r="F14" s="9" t="inlineStr">
        <is>
          <t>EBITDA margin</t>
        </is>
      </c>
      <c r="G14" s="9" t="inlineStr">
        <is>
          <t>Net margin</t>
        </is>
      </c>
    </row>
    <row r="15">
      <c r="B15" s="10">
        <f>Comps!C6</f>
        <v/>
      </c>
      <c r="C15" s="11">
        <f>Comps!D6</f>
        <v/>
      </c>
      <c r="D15" s="11">
        <f>Comps!V6</f>
        <v/>
      </c>
      <c r="E15" s="12">
        <f>Comps!Q6</f>
        <v/>
      </c>
      <c r="F15" s="12">
        <f>Comps!S6</f>
        <v/>
      </c>
      <c r="G15" s="12">
        <f>Comps!T6</f>
        <v/>
      </c>
    </row>
    <row r="17">
      <c r="B17" s="2" t="inlineStr">
        <is>
          <t>Valuation profile</t>
        </is>
      </c>
      <c r="C17" s="13" t="inlineStr">
        <is>
          <t>Mature</t>
        </is>
      </c>
    </row>
    <row r="18" ht="28" customHeight="1">
      <c r="B18" s="14" t="inlineStr">
        <is>
          <t>Profitable, established business: standard enterprise and equity earnings multiples apply, with P/FCF as a cash sanity check.</t>
        </is>
      </c>
    </row>
    <row r="20" ht="30" customHeight="1">
      <c r="B20" s="15" t="inlineStr">
        <is>
          <t>Multiple (pick from list)</t>
        </is>
      </c>
      <c r="C20" s="15" t="inlineStr">
        <is>
          <t>Use in blend</t>
        </is>
      </c>
      <c r="D20" s="15" t="inlineStr">
        <is>
          <t>Target</t>
        </is>
      </c>
      <c r="E20" s="15" t="inlineStr">
        <is>
          <t>Peer median</t>
        </is>
      </c>
      <c r="F20" s="15" t="inlineStr">
        <is>
          <t>Premium / (discount)</t>
        </is>
      </c>
      <c r="G20" s="15" t="inlineStr">
        <is>
          <t>Implied price @ median</t>
        </is>
      </c>
      <c r="H20" s="15" t="inlineStr">
        <is>
          <t>Upside</t>
        </is>
      </c>
      <c r="I20" s="15" t="inlineStr">
        <is>
          <t>Why this multiple</t>
        </is>
      </c>
    </row>
    <row r="21">
      <c r="B21" s="16" t="inlineStr">
        <is>
          <t>EV / EBITDA</t>
        </is>
      </c>
      <c r="C21" s="17" t="inlineStr">
        <is>
          <t>Y</t>
        </is>
      </c>
      <c r="D21" s="18">
        <f>IF($B21="","",Valuation!E9)</f>
        <v/>
      </c>
      <c r="E21" s="18">
        <f>IF($B21="","",Valuation!G9)</f>
        <v/>
      </c>
      <c r="F21" s="19">
        <f>IF($B21="","",IF(AND(ISNUMBER(D21),ISNUMBER(E21)),D21/E21-1,"NM"))</f>
        <v/>
      </c>
      <c r="G21" s="20">
        <f>IF($B21="","",Valuation!J9)</f>
        <v/>
      </c>
      <c r="H21" s="21">
        <f>IF($B21="","",Valuation!L9)</f>
        <v/>
      </c>
      <c r="I21" s="22">
        <f>IF($B21="","",IFERROR(INDEX(Lists!$D$2:$D$11,MATCH($B21,Lists!$A$2:$A$11,0)),""))</f>
        <v/>
      </c>
    </row>
    <row r="22">
      <c r="B22" s="16" t="inlineStr">
        <is>
          <t>P / E (Forward)</t>
        </is>
      </c>
      <c r="C22" s="17" t="inlineStr">
        <is>
          <t>Y</t>
        </is>
      </c>
      <c r="D22" s="18">
        <f>IF($B22="","",Valuation!E10)</f>
        <v/>
      </c>
      <c r="E22" s="18">
        <f>IF($B22="","",Valuation!G10)</f>
        <v/>
      </c>
      <c r="F22" s="19">
        <f>IF($B22="","",IF(AND(ISNUMBER(D22),ISNUMBER(E22)),D22/E22-1,"NM"))</f>
        <v/>
      </c>
      <c r="G22" s="20">
        <f>IF($B22="","",Valuation!J10)</f>
        <v/>
      </c>
      <c r="H22" s="21">
        <f>IF($B22="","",Valuation!L10)</f>
        <v/>
      </c>
      <c r="I22" s="22">
        <f>IF($B22="","",IFERROR(INDEX(Lists!$D$2:$D$11,MATCH($B22,Lists!$A$2:$A$11,0)),""))</f>
        <v/>
      </c>
    </row>
    <row r="23">
      <c r="B23" s="16" t="inlineStr">
        <is>
          <t>EV / EBIT</t>
        </is>
      </c>
      <c r="C23" s="17" t="inlineStr">
        <is>
          <t>Y</t>
        </is>
      </c>
      <c r="D23" s="18">
        <f>IF($B23="","",Valuation!E11)</f>
        <v/>
      </c>
      <c r="E23" s="18">
        <f>IF($B23="","",Valuation!G11)</f>
        <v/>
      </c>
      <c r="F23" s="19">
        <f>IF($B23="","",IF(AND(ISNUMBER(D23),ISNUMBER(E23)),D23/E23-1,"NM"))</f>
        <v/>
      </c>
      <c r="G23" s="20">
        <f>IF($B23="","",Valuation!J11)</f>
        <v/>
      </c>
      <c r="H23" s="21">
        <f>IF($B23="","",Valuation!L11)</f>
        <v/>
      </c>
      <c r="I23" s="22">
        <f>IF($B23="","",IFERROR(INDEX(Lists!$D$2:$D$11,MATCH($B23,Lists!$A$2:$A$11,0)),""))</f>
        <v/>
      </c>
    </row>
    <row r="24">
      <c r="B24" s="16" t="inlineStr">
        <is>
          <t>P / E (LTM)</t>
        </is>
      </c>
      <c r="C24" s="17" t="inlineStr">
        <is>
          <t>N</t>
        </is>
      </c>
      <c r="D24" s="18">
        <f>IF($B24="","",Valuation!E12)</f>
        <v/>
      </c>
      <c r="E24" s="18">
        <f>IF($B24="","",Valuation!G12)</f>
        <v/>
      </c>
      <c r="F24" s="19">
        <f>IF($B24="","",IF(AND(ISNUMBER(D24),ISNUMBER(E24)),D24/E24-1,"NM"))</f>
        <v/>
      </c>
      <c r="G24" s="20">
        <f>IF($B24="","",Valuation!J12)</f>
        <v/>
      </c>
      <c r="H24" s="21">
        <f>IF($B24="","",Valuation!L12)</f>
        <v/>
      </c>
      <c r="I24" s="22">
        <f>IF($B24="","",IFERROR(INDEX(Lists!$D$2:$D$11,MATCH($B24,Lists!$A$2:$A$11,0)),""))</f>
        <v/>
      </c>
    </row>
    <row r="25">
      <c r="B25" s="16" t="inlineStr">
        <is>
          <t>P / FCF</t>
        </is>
      </c>
      <c r="C25" s="17" t="inlineStr">
        <is>
          <t>N</t>
        </is>
      </c>
      <c r="D25" s="18">
        <f>IF($B25="","",Valuation!E13)</f>
        <v/>
      </c>
      <c r="E25" s="18">
        <f>IF($B25="","",Valuation!G13)</f>
        <v/>
      </c>
      <c r="F25" s="19">
        <f>IF($B25="","",IF(AND(ISNUMBER(D25),ISNUMBER(E25)),D25/E25-1,"NM"))</f>
        <v/>
      </c>
      <c r="G25" s="20">
        <f>IF($B25="","",Valuation!J13)</f>
        <v/>
      </c>
      <c r="H25" s="21">
        <f>IF($B25="","",Valuation!L13)</f>
        <v/>
      </c>
      <c r="I25" s="22">
        <f>IF($B25="","",IFERROR(INDEX(Lists!$D$2:$D$11,MATCH($B25,Lists!$A$2:$A$11,0)),""))</f>
        <v/>
      </c>
    </row>
    <row r="26">
      <c r="B26" s="16" t="n"/>
      <c r="C26" s="17" t="n"/>
      <c r="D26" s="18">
        <f>IF($B26="","",Valuation!E14)</f>
        <v/>
      </c>
      <c r="E26" s="18">
        <f>IF($B26="","",Valuation!G14)</f>
        <v/>
      </c>
      <c r="F26" s="19">
        <f>IF($B26="","",IF(AND(ISNUMBER(D26),ISNUMBER(E26)),D26/E26-1,"NM"))</f>
        <v/>
      </c>
      <c r="G26" s="20">
        <f>IF($B26="","",Valuation!J14)</f>
        <v/>
      </c>
      <c r="H26" s="21">
        <f>IF($B26="","",Valuation!L14)</f>
        <v/>
      </c>
      <c r="I26" s="22">
        <f>IF($B26="","",IFERROR(INDEX(Lists!$D$2:$D$11,MATCH($B26,Lists!$A$2:$A$11,0)),""))</f>
        <v/>
      </c>
    </row>
    <row r="28">
      <c r="B28" s="23" t="inlineStr">
        <is>
          <t>Blended implied price ('Y' multiples, peer median)</t>
        </is>
      </c>
      <c r="C28" s="24" t="n"/>
      <c r="D28" s="24" t="n"/>
      <c r="E28" s="24" t="n"/>
      <c r="F28" s="24" t="n"/>
      <c r="G28" s="25">
        <f>Valuation!J16</f>
        <v/>
      </c>
      <c r="H28" s="26">
        <f>Valuation!L16</f>
        <v/>
      </c>
    </row>
    <row r="30" ht="30" customHeight="1">
      <c r="B30" s="27">
        <f>IF(OR(Comps!$A$6="",NOT(ISNUMBER(G28))),"Refresh to see the summary.",Comps!$A$6&amp;" trades at "&amp;TEXT(Comps!$C$6,"#,##0.00")&amp;" vs. "&amp;TEXT(G28,"#,##0.00")&amp;" implied by peer-median multiples: a "&amp;TEXT(ABS(Comps!$C$6/G28-1),"0%")&amp;IF(Comps!$C$6&gt;=G28," premium"," discount")&amp;" to the blended peer-implied value.")</f>
        <v/>
      </c>
    </row>
    <row r="32">
      <c r="B32" s="13" t="inlineStr">
        <is>
          <t>Analyst notes (written at refresh)</t>
        </is>
      </c>
    </row>
    <row r="33">
      <c r="B33" s="14" t="inlineStr">
        <is>
          <t>On its key multiples, AMZN trades at a 97% premium to the peer median (median across those multiples; peers: BABA, PDD, MELI, EBAY, CPNG). That premium is consistent with its higher EBITDA margins (22% vs 18%). Applying peer-median multiples implies ~USD 130.46/share vs. 225.00 today (-42%).</t>
        </is>
      </c>
    </row>
    <row r="34"/>
    <row r="35"/>
    <row r="37" ht="30" customHeight="1">
      <c r="B37" s="15" t="inlineStr">
        <is>
          <t>Peer company</t>
        </is>
      </c>
      <c r="C37" s="15" t="inlineStr">
        <is>
          <t>Ticker</t>
        </is>
      </c>
      <c r="D37" s="15" t="inlineStr">
        <is>
          <t>Industry</t>
        </is>
      </c>
      <c r="E37" s="15" t="inlineStr">
        <is>
          <t>Market cap ($mm)</t>
        </is>
      </c>
      <c r="F37" s="15" t="inlineStr">
        <is>
          <t>Similarity (0–100)</t>
        </is>
      </c>
      <c r="G37" s="15" t="inlineStr">
        <is>
          <t>Why it's a comp</t>
        </is>
      </c>
    </row>
    <row r="38">
      <c r="B38" s="28" t="inlineStr">
        <is>
          <t>Alibaba Group Holding Limited</t>
        </is>
      </c>
      <c r="C38" s="29" t="inlineStr">
        <is>
          <t>BABA</t>
        </is>
      </c>
      <c r="D38" s="28" t="inlineStr">
        <is>
          <t>Internet Retail</t>
        </is>
      </c>
      <c r="E38" s="30" t="n">
        <v>320000</v>
      </c>
      <c r="F38" s="31" t="n">
        <v>75.2</v>
      </c>
      <c r="G38" s="32" t="inlineStr">
        <is>
          <t>Same industry (Internet Retail); Similar revenue growth (6% vs 11%); Similar EBITDA margin (18% vs 22%)</t>
        </is>
      </c>
    </row>
    <row r="39">
      <c r="B39" s="28" t="inlineStr">
        <is>
          <t>PDD Holdings Inc.</t>
        </is>
      </c>
      <c r="C39" s="29" t="inlineStr">
        <is>
          <t>PDD</t>
        </is>
      </c>
      <c r="D39" s="28" t="inlineStr">
        <is>
          <t>Internet Retail</t>
        </is>
      </c>
      <c r="E39" s="30" t="n">
        <v>170000</v>
      </c>
      <c r="F39" s="31" t="n">
        <v>73.3</v>
      </c>
      <c r="G39" s="32" t="inlineStr">
        <is>
          <t>Same industry (Internet Retail); Similar revenue growth (10% vs 11%)</t>
        </is>
      </c>
    </row>
    <row r="40">
      <c r="B40" s="28" t="inlineStr">
        <is>
          <t>MercadoLibre, Inc.</t>
        </is>
      </c>
      <c r="C40" s="29" t="inlineStr">
        <is>
          <t>MELI</t>
        </is>
      </c>
      <c r="D40" s="28" t="inlineStr">
        <is>
          <t>Internet Retail</t>
        </is>
      </c>
      <c r="E40" s="30" t="n">
        <v>120000</v>
      </c>
      <c r="F40" s="31" t="n">
        <v>60.9</v>
      </c>
      <c r="G40" s="32" t="inlineStr">
        <is>
          <t>Same industry (Internet Retail); Similar gross margin (46% vs 49%)</t>
        </is>
      </c>
    </row>
    <row r="41">
      <c r="B41" s="28" t="inlineStr">
        <is>
          <t>eBay Inc.</t>
        </is>
      </c>
      <c r="C41" s="29" t="inlineStr">
        <is>
          <t>EBAY</t>
        </is>
      </c>
      <c r="D41" s="28" t="inlineStr">
        <is>
          <t>Internet Retail</t>
        </is>
      </c>
      <c r="E41" s="30" t="n">
        <v>41000</v>
      </c>
      <c r="F41" s="31" t="n">
        <v>60.3</v>
      </c>
      <c r="G41" s="32" t="inlineStr">
        <is>
          <t>Same industry (Internet Retail)</t>
        </is>
      </c>
    </row>
    <row r="42">
      <c r="B42" s="28" t="inlineStr">
        <is>
          <t>Coupang, Inc.</t>
        </is>
      </c>
      <c r="C42" s="29" t="inlineStr">
        <is>
          <t>CPNG</t>
        </is>
      </c>
      <c r="D42" s="28" t="inlineStr">
        <is>
          <t>Internet Retail</t>
        </is>
      </c>
      <c r="E42" s="30" t="n">
        <v>54000</v>
      </c>
      <c r="F42" s="31" t="n">
        <v>59.7</v>
      </c>
      <c r="G42" s="32" t="inlineStr">
        <is>
          <t>Same industry (Internet Retail)</t>
        </is>
      </c>
    </row>
    <row r="43">
      <c r="B43" s="28" t="n"/>
      <c r="C43" s="29" t="n"/>
      <c r="D43" s="28" t="n"/>
      <c r="E43" s="30" t="n"/>
      <c r="F43" s="31" t="n"/>
      <c r="G43" s="32" t="n"/>
    </row>
    <row r="44">
      <c r="B44" s="28" t="n"/>
      <c r="C44" s="29" t="n"/>
      <c r="D44" s="28" t="n"/>
      <c r="E44" s="30" t="n"/>
      <c r="F44" s="31" t="n"/>
      <c r="G44" s="32" t="n"/>
    </row>
    <row r="45">
      <c r="B45" s="28" t="n"/>
      <c r="C45" s="29" t="n"/>
      <c r="D45" s="28" t="n"/>
      <c r="E45" s="30" t="n"/>
      <c r="F45" s="31" t="n"/>
      <c r="G45" s="32" t="n"/>
    </row>
    <row r="47">
      <c r="B47" s="33" t="inlineStr">
        <is>
          <t>Blue = written by Refresh · Yellow = your inputs · Green = links · Black = formulas. Data: Yahoo Finance – verify key figures against filings before presenting.</t>
        </is>
      </c>
    </row>
  </sheetData>
  <mergeCells count="14">
    <mergeCell ref="B9:I9"/>
    <mergeCell ref="B18:I18"/>
    <mergeCell ref="B12:I12"/>
    <mergeCell ref="G38:I38"/>
    <mergeCell ref="B30:I30"/>
    <mergeCell ref="G42:I42"/>
    <mergeCell ref="G44:I44"/>
    <mergeCell ref="G41:I41"/>
    <mergeCell ref="G37:I37"/>
    <mergeCell ref="B33:I35"/>
    <mergeCell ref="G45:I45"/>
    <mergeCell ref="G39:I39"/>
    <mergeCell ref="G40:I40"/>
    <mergeCell ref="G43:I43"/>
  </mergeCells>
  <conditionalFormatting sqref="F21:F28">
    <cfRule type="expression" priority="1" dxfId="0">
      <formula>AND(ISNUMBER(F21),F21&lt;0)</formula>
    </cfRule>
  </conditionalFormatting>
  <conditionalFormatting sqref="H21:H28">
    <cfRule type="expression" priority="2" dxfId="0">
      <formula>AND(ISNUMBER(H21),H21&lt;0)</formula>
    </cfRule>
  </conditionalFormatting>
  <dataValidations count="3">
    <dataValidation sqref="C5" showDropDown="0" showInputMessage="0" showErrorMessage="1" allowBlank="0" errorTitle="Peers" error="Enter a whole number from 3 to 8." type="whole" operator="between">
      <formula1>3</formula1>
      <formula2>8</formula2>
    </dataValidation>
    <dataValidation sqref="B21:B26" showDropDown="0" showInputMessage="0" showErrorMessage="0" allowBlank="1" type="list">
      <formula1>=Lists!$A$2:$A$11</formula1>
    </dataValidation>
    <dataValidation sqref="C21:C26" showDropDown="0" showInputMessage="0" showErrorMessage="0" allowBlank="1" type="list">
      <formula1>"Y,N"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F2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</cols>
  <sheetData>
    <row r="1">
      <c r="A1" s="8" t="inlineStr">
        <is>
          <t>Comparable Companies Analysis</t>
        </is>
      </c>
    </row>
    <row r="2">
      <c r="A2" s="34" t="inlineStr">
        <is>
          <t>$ in millions except per share (reporting currency converted to trading currency). Blue = input written by Refresh (safe to overwrite), black = formula. Highlighted headers = multiples picked on the Dashboard.</t>
        </is>
      </c>
    </row>
    <row r="4">
      <c r="V4" s="35" t="inlineStr">
        <is>
          <t>NM if above →</t>
        </is>
      </c>
      <c r="W4" s="36" t="n">
        <v>60</v>
      </c>
      <c r="X4" s="36" t="n">
        <v>60</v>
      </c>
      <c r="Y4" s="36" t="n">
        <v>80</v>
      </c>
      <c r="Z4" s="36" t="n">
        <v>100</v>
      </c>
      <c r="AA4" s="36" t="n">
        <v>150</v>
      </c>
      <c r="AB4" s="36" t="n">
        <v>150</v>
      </c>
      <c r="AC4" s="36" t="n">
        <v>150</v>
      </c>
      <c r="AD4" s="36" t="n">
        <v>150</v>
      </c>
      <c r="AE4" s="36" t="n">
        <v>100</v>
      </c>
      <c r="AF4" s="36" t="n">
        <v>50</v>
      </c>
    </row>
    <row r="5" ht="30" customHeight="1">
      <c r="A5" s="15" t="inlineStr">
        <is>
          <t>Ticker</t>
        </is>
      </c>
      <c r="B5" s="15" t="inlineStr">
        <is>
          <t>Company</t>
        </is>
      </c>
      <c r="C5" s="15" t="inlineStr">
        <is>
          <t>Share Price</t>
        </is>
      </c>
      <c r="D5" s="15" t="inlineStr">
        <is>
          <t>Market Cap ($mm)</t>
        </is>
      </c>
      <c r="E5" s="15" t="inlineStr">
        <is>
          <t>Total Debt ($mm)</t>
        </is>
      </c>
      <c r="F5" s="15" t="inlineStr">
        <is>
          <t>Cash ($mm)</t>
        </is>
      </c>
      <c r="G5" s="15" t="inlineStr">
        <is>
          <t>LTM Revenue ($mm)</t>
        </is>
      </c>
      <c r="H5" s="15" t="inlineStr">
        <is>
          <t>NTM Revenue ($mm)</t>
        </is>
      </c>
      <c r="I5" s="15" t="inlineStr">
        <is>
          <t>LTM Gross Profit ($mm)</t>
        </is>
      </c>
      <c r="J5" s="15" t="inlineStr">
        <is>
          <t>LTM EBITDA ($mm)</t>
        </is>
      </c>
      <c r="K5" s="15" t="inlineStr">
        <is>
          <t>LTM EBIT ($mm)</t>
        </is>
      </c>
      <c r="L5" s="15" t="inlineStr">
        <is>
          <t>LTM Net Income ($mm)</t>
        </is>
      </c>
      <c r="M5" s="15" t="inlineStr">
        <is>
          <t>Forward Earnings ($mm)</t>
        </is>
      </c>
      <c r="N5" s="15" t="inlineStr">
        <is>
          <t>LTM Op. Cash Flow ($mm)</t>
        </is>
      </c>
      <c r="O5" s="15" t="inlineStr">
        <is>
          <t>LTM FCF ($mm)</t>
        </is>
      </c>
      <c r="P5" s="15" t="inlineStr">
        <is>
          <t>Book Value ($mm)</t>
        </is>
      </c>
      <c r="Q5" s="15" t="inlineStr">
        <is>
          <t>Revenue Growth</t>
        </is>
      </c>
      <c r="R5" s="15" t="inlineStr">
        <is>
          <t>Gross Margin</t>
        </is>
      </c>
      <c r="S5" s="15" t="inlineStr">
        <is>
          <t>EBITDA Margin</t>
        </is>
      </c>
      <c r="T5" s="15" t="inlineStr">
        <is>
          <t>Net Margin</t>
        </is>
      </c>
      <c r="V5" s="15" t="inlineStr">
        <is>
          <t>Enterprise Value ($mm)</t>
        </is>
      </c>
      <c r="W5" s="15" t="inlineStr">
        <is>
          <t>EV / LTM Revenue</t>
        </is>
      </c>
      <c r="X5" s="15" t="inlineStr">
        <is>
          <t>EV / NTM Revenue</t>
        </is>
      </c>
      <c r="Y5" s="15" t="inlineStr">
        <is>
          <t>EV / Gross Profit</t>
        </is>
      </c>
      <c r="Z5" s="15" t="inlineStr">
        <is>
          <t>EV / EBITDA</t>
        </is>
      </c>
      <c r="AA5" s="15" t="inlineStr">
        <is>
          <t>EV / EBIT</t>
        </is>
      </c>
      <c r="AB5" s="15" t="inlineStr">
        <is>
          <t>P / E (LTM)</t>
        </is>
      </c>
      <c r="AC5" s="15" t="inlineStr">
        <is>
          <t>P / E (Forward)</t>
        </is>
      </c>
      <c r="AD5" s="15" t="inlineStr">
        <is>
          <t>P / FCF</t>
        </is>
      </c>
      <c r="AE5" s="15" t="inlineStr">
        <is>
          <t>P / Operating Cash Flow</t>
        </is>
      </c>
      <c r="AF5" s="15" t="inlineStr">
        <is>
          <t>P / Book</t>
        </is>
      </c>
    </row>
    <row r="6">
      <c r="A6" s="37" t="inlineStr">
        <is>
          <t>AMZN</t>
        </is>
      </c>
      <c r="B6" s="37" t="inlineStr">
        <is>
          <t>Amazon.com, Inc.</t>
        </is>
      </c>
      <c r="C6" s="38" t="n">
        <v>225</v>
      </c>
      <c r="D6" s="39" t="n">
        <v>2400000</v>
      </c>
      <c r="E6" s="39" t="n">
        <v>160000</v>
      </c>
      <c r="F6" s="39" t="n">
        <v>95000</v>
      </c>
      <c r="G6" s="39" t="n">
        <v>670000</v>
      </c>
      <c r="H6" s="39" t="n">
        <v>735000</v>
      </c>
      <c r="I6" s="39" t="n">
        <v>330000</v>
      </c>
      <c r="J6" s="39" t="n">
        <v>145000</v>
      </c>
      <c r="K6" s="39" t="n">
        <v>76000</v>
      </c>
      <c r="L6" s="39" t="n">
        <v>70000</v>
      </c>
      <c r="M6" s="39" t="n">
        <v>72727.27272727272</v>
      </c>
      <c r="N6" s="39" t="n">
        <v>125000</v>
      </c>
      <c r="O6" s="39" t="n">
        <v>25000</v>
      </c>
      <c r="P6" s="39" t="n">
        <v>330000</v>
      </c>
      <c r="Q6" s="40" t="n">
        <v>0.11</v>
      </c>
      <c r="R6" s="40" t="n">
        <v>0.4925373134328358</v>
      </c>
      <c r="S6" s="40" t="n">
        <v>0.2164179104477612</v>
      </c>
      <c r="T6" s="40" t="n">
        <v>0.1044776119402985</v>
      </c>
      <c r="V6" s="41">
        <f>IF($A6="","",IF(ISNUMBER(D6),D6+N(E6)-N(F6),"NM"))</f>
        <v/>
      </c>
      <c r="W6" s="42">
        <f>IF($A6="","",IF(AND(ISNUMBER(G6),ISNUMBER(V6)),IF(AND(G6&gt;0,V6&gt;0),IF(V6/G6&lt;=W$4,V6/G6,"NM"),"NM"),"NM"))</f>
        <v/>
      </c>
      <c r="X6" s="42">
        <f>IF($A6="","",IF(AND(ISNUMBER(H6),ISNUMBER(V6)),IF(AND(H6&gt;0,V6&gt;0),IF(V6/H6&lt;=X$4,V6/H6,"NM"),"NM"),"NM"))</f>
        <v/>
      </c>
      <c r="Y6" s="42">
        <f>IF($A6="","",IF(AND(ISNUMBER(I6),ISNUMBER(V6)),IF(AND(I6&gt;0,V6&gt;0),IF(V6/I6&lt;=Y$4,V6/I6,"NM"),"NM"),"NM"))</f>
        <v/>
      </c>
      <c r="Z6" s="42">
        <f>IF($A6="","",IF(AND(ISNUMBER(J6),ISNUMBER(V6)),IF(AND(J6&gt;0,V6&gt;0),IF(V6/J6&lt;=Z$4,V6/J6,"NM"),"NM"),"NM"))</f>
        <v/>
      </c>
      <c r="AA6" s="42">
        <f>IF($A6="","",IF(AND(ISNUMBER(K6),ISNUMBER(V6)),IF(AND(K6&gt;0,V6&gt;0),IF(V6/K6&lt;=AA$4,V6/K6,"NM"),"NM"),"NM"))</f>
        <v/>
      </c>
      <c r="AB6" s="42">
        <f>IF($A6="","",IF(AND(ISNUMBER(L6),ISNUMBER(D6)),IF(AND(L6&gt;0,D6&gt;0),IF(D6/L6&lt;=AB$4,D6/L6,"NM"),"NM"),"NM"))</f>
        <v/>
      </c>
      <c r="AC6" s="42">
        <f>IF($A6="","",IF(AND(ISNUMBER(M6),ISNUMBER(D6)),IF(AND(M6&gt;0,D6&gt;0),IF(D6/M6&lt;=AC$4,D6/M6,"NM"),"NM"),"NM"))</f>
        <v/>
      </c>
      <c r="AD6" s="42">
        <f>IF($A6="","",IF(AND(ISNUMBER(O6),ISNUMBER(D6)),IF(AND(O6&gt;0,D6&gt;0),IF(D6/O6&lt;=AD$4,D6/O6,"NM"),"NM"),"NM"))</f>
        <v/>
      </c>
      <c r="AE6" s="42">
        <f>IF($A6="","",IF(AND(ISNUMBER(N6),ISNUMBER(D6)),IF(AND(N6&gt;0,D6&gt;0),IF(D6/N6&lt;=AE$4,D6/N6,"NM"),"NM"),"NM"))</f>
        <v/>
      </c>
      <c r="AF6" s="42">
        <f>IF($A6="","",IF(AND(ISNUMBER(P6),ISNUMBER(D6)),IF(AND(P6&gt;0,D6&gt;0),IF(D6/P6&lt;=AF$4,D6/P6,"NM"),"NM"),"NM"))</f>
        <v/>
      </c>
    </row>
    <row r="7">
      <c r="A7" s="28" t="inlineStr">
        <is>
          <t>BABA</t>
        </is>
      </c>
      <c r="B7" s="28" t="inlineStr">
        <is>
          <t>Alibaba Group Holding Limited</t>
        </is>
      </c>
      <c r="C7" s="43" t="n">
        <v>135</v>
      </c>
      <c r="D7" s="30" t="n">
        <v>320000</v>
      </c>
      <c r="E7" s="30" t="n">
        <v>35000</v>
      </c>
      <c r="F7" s="30" t="n">
        <v>75000</v>
      </c>
      <c r="G7" s="30" t="n">
        <v>138000</v>
      </c>
      <c r="H7" s="30" t="n">
        <v>150000</v>
      </c>
      <c r="I7" s="30" t="n">
        <v>55000</v>
      </c>
      <c r="J7" s="30" t="n">
        <v>25000</v>
      </c>
      <c r="K7" s="30" t="n">
        <v>17000</v>
      </c>
      <c r="L7" s="30" t="n">
        <v>17000</v>
      </c>
      <c r="M7" s="30" t="n">
        <v>22857.14285714286</v>
      </c>
      <c r="N7" s="30" t="n">
        <v>22000</v>
      </c>
      <c r="O7" s="30" t="n">
        <v>8000</v>
      </c>
      <c r="P7" s="30" t="n">
        <v>135000</v>
      </c>
      <c r="Q7" s="44" t="n">
        <v>0.06</v>
      </c>
      <c r="R7" s="44" t="n">
        <v>0.3985507246376812</v>
      </c>
      <c r="S7" s="44" t="n">
        <v>0.1811594202898551</v>
      </c>
      <c r="T7" s="44" t="n">
        <v>0.1231884057971015</v>
      </c>
      <c r="V7" s="45">
        <f>IF($A7="","",IF(ISNUMBER(D7),D7+N(E7)-N(F7),"NM"))</f>
        <v/>
      </c>
      <c r="W7" s="46">
        <f>IF($A7="","",IF(AND(ISNUMBER(G7),ISNUMBER(V7)),IF(AND(G7&gt;0,V7&gt;0),IF(V7/G7&lt;=W$4,V7/G7,"NM"),"NM"),"NM"))</f>
        <v/>
      </c>
      <c r="X7" s="46">
        <f>IF($A7="","",IF(AND(ISNUMBER(H7),ISNUMBER(V7)),IF(AND(H7&gt;0,V7&gt;0),IF(V7/H7&lt;=X$4,V7/H7,"NM"),"NM"),"NM"))</f>
        <v/>
      </c>
      <c r="Y7" s="46">
        <f>IF($A7="","",IF(AND(ISNUMBER(I7),ISNUMBER(V7)),IF(AND(I7&gt;0,V7&gt;0),IF(V7/I7&lt;=Y$4,V7/I7,"NM"),"NM"),"NM"))</f>
        <v/>
      </c>
      <c r="Z7" s="46">
        <f>IF($A7="","",IF(AND(ISNUMBER(J7),ISNUMBER(V7)),IF(AND(J7&gt;0,V7&gt;0),IF(V7/J7&lt;=Z$4,V7/J7,"NM"),"NM"),"NM"))</f>
        <v/>
      </c>
      <c r="AA7" s="46">
        <f>IF($A7="","",IF(AND(ISNUMBER(K7),ISNUMBER(V7)),IF(AND(K7&gt;0,V7&gt;0),IF(V7/K7&lt;=AA$4,V7/K7,"NM"),"NM"),"NM"))</f>
        <v/>
      </c>
      <c r="AB7" s="46">
        <f>IF($A7="","",IF(AND(ISNUMBER(L7),ISNUMBER(D7)),IF(AND(L7&gt;0,D7&gt;0),IF(D7/L7&lt;=AB$4,D7/L7,"NM"),"NM"),"NM"))</f>
        <v/>
      </c>
      <c r="AC7" s="46">
        <f>IF($A7="","",IF(AND(ISNUMBER(M7),ISNUMBER(D7)),IF(AND(M7&gt;0,D7&gt;0),IF(D7/M7&lt;=AC$4,D7/M7,"NM"),"NM"),"NM"))</f>
        <v/>
      </c>
      <c r="AD7" s="46">
        <f>IF($A7="","",IF(AND(ISNUMBER(O7),ISNUMBER(D7)),IF(AND(O7&gt;0,D7&gt;0),IF(D7/O7&lt;=AD$4,D7/O7,"NM"),"NM"),"NM"))</f>
        <v/>
      </c>
      <c r="AE7" s="46">
        <f>IF($A7="","",IF(AND(ISNUMBER(N7),ISNUMBER(D7)),IF(AND(N7&gt;0,D7&gt;0),IF(D7/N7&lt;=AE$4,D7/N7,"NM"),"NM"),"NM"))</f>
        <v/>
      </c>
      <c r="AF7" s="46">
        <f>IF($A7="","",IF(AND(ISNUMBER(P7),ISNUMBER(D7)),IF(AND(P7&gt;0,D7&gt;0),IF(D7/P7&lt;=AF$4,D7/P7,"NM"),"NM"),"NM"))</f>
        <v/>
      </c>
    </row>
    <row r="8">
      <c r="A8" s="28" t="inlineStr">
        <is>
          <t>PDD</t>
        </is>
      </c>
      <c r="B8" s="28" t="inlineStr">
        <is>
          <t>PDD Holdings Inc.</t>
        </is>
      </c>
      <c r="C8" s="43" t="n">
        <v>120</v>
      </c>
      <c r="D8" s="30" t="n">
        <v>170000</v>
      </c>
      <c r="E8" s="30" t="n">
        <v>2000</v>
      </c>
      <c r="F8" s="30" t="n">
        <v>50000</v>
      </c>
      <c r="G8" s="30" t="n">
        <v>56000</v>
      </c>
      <c r="H8" s="30" t="n">
        <v>63000</v>
      </c>
      <c r="I8" s="30" t="n">
        <v>33000</v>
      </c>
      <c r="J8" s="30" t="n">
        <v>16000</v>
      </c>
      <c r="K8" s="30" t="n">
        <v>15000</v>
      </c>
      <c r="L8" s="30" t="n">
        <v>15000</v>
      </c>
      <c r="M8" s="30" t="n">
        <v>17000</v>
      </c>
      <c r="N8" s="30" t="n">
        <v>16000</v>
      </c>
      <c r="O8" s="30" t="n">
        <v>15000</v>
      </c>
      <c r="P8" s="30" t="n">
        <v>45000</v>
      </c>
      <c r="Q8" s="44" t="n">
        <v>0.1</v>
      </c>
      <c r="R8" s="44" t="n">
        <v>0.5892857142857143</v>
      </c>
      <c r="S8" s="44" t="n">
        <v>0.2857142857142857</v>
      </c>
      <c r="T8" s="44" t="n">
        <v>0.2678571428571428</v>
      </c>
      <c r="V8" s="45">
        <f>IF($A8="","",IF(ISNUMBER(D8),D8+N(E8)-N(F8),"NM"))</f>
        <v/>
      </c>
      <c r="W8" s="46">
        <f>IF($A8="","",IF(AND(ISNUMBER(G8),ISNUMBER(V8)),IF(AND(G8&gt;0,V8&gt;0),IF(V8/G8&lt;=W$4,V8/G8,"NM"),"NM"),"NM"))</f>
        <v/>
      </c>
      <c r="X8" s="46">
        <f>IF($A8="","",IF(AND(ISNUMBER(H8),ISNUMBER(V8)),IF(AND(H8&gt;0,V8&gt;0),IF(V8/H8&lt;=X$4,V8/H8,"NM"),"NM"),"NM"))</f>
        <v/>
      </c>
      <c r="Y8" s="46">
        <f>IF($A8="","",IF(AND(ISNUMBER(I8),ISNUMBER(V8)),IF(AND(I8&gt;0,V8&gt;0),IF(V8/I8&lt;=Y$4,V8/I8,"NM"),"NM"),"NM"))</f>
        <v/>
      </c>
      <c r="Z8" s="46">
        <f>IF($A8="","",IF(AND(ISNUMBER(J8),ISNUMBER(V8)),IF(AND(J8&gt;0,V8&gt;0),IF(V8/J8&lt;=Z$4,V8/J8,"NM"),"NM"),"NM"))</f>
        <v/>
      </c>
      <c r="AA8" s="46">
        <f>IF($A8="","",IF(AND(ISNUMBER(K8),ISNUMBER(V8)),IF(AND(K8&gt;0,V8&gt;0),IF(V8/K8&lt;=AA$4,V8/K8,"NM"),"NM"),"NM"))</f>
        <v/>
      </c>
      <c r="AB8" s="46">
        <f>IF($A8="","",IF(AND(ISNUMBER(L8),ISNUMBER(D8)),IF(AND(L8&gt;0,D8&gt;0),IF(D8/L8&lt;=AB$4,D8/L8,"NM"),"NM"),"NM"))</f>
        <v/>
      </c>
      <c r="AC8" s="46">
        <f>IF($A8="","",IF(AND(ISNUMBER(M8),ISNUMBER(D8)),IF(AND(M8&gt;0,D8&gt;0),IF(D8/M8&lt;=AC$4,D8/M8,"NM"),"NM"),"NM"))</f>
        <v/>
      </c>
      <c r="AD8" s="46">
        <f>IF($A8="","",IF(AND(ISNUMBER(O8),ISNUMBER(D8)),IF(AND(O8&gt;0,D8&gt;0),IF(D8/O8&lt;=AD$4,D8/O8,"NM"),"NM"),"NM"))</f>
        <v/>
      </c>
      <c r="AE8" s="46">
        <f>IF($A8="","",IF(AND(ISNUMBER(N8),ISNUMBER(D8)),IF(AND(N8&gt;0,D8&gt;0),IF(D8/N8&lt;=AE$4,D8/N8,"NM"),"NM"),"NM"))</f>
        <v/>
      </c>
      <c r="AF8" s="46">
        <f>IF($A8="","",IF(AND(ISNUMBER(P8),ISNUMBER(D8)),IF(AND(P8&gt;0,D8&gt;0),IF(D8/P8&lt;=AF$4,D8/P8,"NM"),"NM"),"NM"))</f>
        <v/>
      </c>
    </row>
    <row r="9">
      <c r="A9" s="28" t="inlineStr">
        <is>
          <t>MELI</t>
        </is>
      </c>
      <c r="B9" s="28" t="inlineStr">
        <is>
          <t>MercadoLibre, Inc.</t>
        </is>
      </c>
      <c r="C9" s="43" t="n">
        <v>2400</v>
      </c>
      <c r="D9" s="30" t="n">
        <v>120000</v>
      </c>
      <c r="E9" s="30" t="n">
        <v>8000</v>
      </c>
      <c r="F9" s="30" t="n">
        <v>9000</v>
      </c>
      <c r="G9" s="30" t="n">
        <v>24000</v>
      </c>
      <c r="H9" s="30" t="n">
        <v>30000</v>
      </c>
      <c r="I9" s="30" t="n">
        <v>11000</v>
      </c>
      <c r="J9" s="30" t="n">
        <v>3600</v>
      </c>
      <c r="K9" s="30" t="n">
        <v>3000</v>
      </c>
      <c r="L9" s="30" t="n">
        <v>2000</v>
      </c>
      <c r="M9" s="30" t="n">
        <v>2666.666666666667</v>
      </c>
      <c r="N9" s="30" t="n">
        <v>7000</v>
      </c>
      <c r="O9" s="30" t="n">
        <v>6000</v>
      </c>
      <c r="P9" s="30" t="n">
        <v>5000</v>
      </c>
      <c r="Q9" s="44" t="n">
        <v>0.37</v>
      </c>
      <c r="R9" s="44" t="n">
        <v>0.4583333333333333</v>
      </c>
      <c r="S9" s="44" t="n">
        <v>0.15</v>
      </c>
      <c r="T9" s="44" t="n">
        <v>0.08333333333333333</v>
      </c>
      <c r="V9" s="45">
        <f>IF($A9="","",IF(ISNUMBER(D9),D9+N(E9)-N(F9),"NM"))</f>
        <v/>
      </c>
      <c r="W9" s="46">
        <f>IF($A9="","",IF(AND(ISNUMBER(G9),ISNUMBER(V9)),IF(AND(G9&gt;0,V9&gt;0),IF(V9/G9&lt;=W$4,V9/G9,"NM"),"NM"),"NM"))</f>
        <v/>
      </c>
      <c r="X9" s="46">
        <f>IF($A9="","",IF(AND(ISNUMBER(H9),ISNUMBER(V9)),IF(AND(H9&gt;0,V9&gt;0),IF(V9/H9&lt;=X$4,V9/H9,"NM"),"NM"),"NM"))</f>
        <v/>
      </c>
      <c r="Y9" s="46">
        <f>IF($A9="","",IF(AND(ISNUMBER(I9),ISNUMBER(V9)),IF(AND(I9&gt;0,V9&gt;0),IF(V9/I9&lt;=Y$4,V9/I9,"NM"),"NM"),"NM"))</f>
        <v/>
      </c>
      <c r="Z9" s="46">
        <f>IF($A9="","",IF(AND(ISNUMBER(J9),ISNUMBER(V9)),IF(AND(J9&gt;0,V9&gt;0),IF(V9/J9&lt;=Z$4,V9/J9,"NM"),"NM"),"NM"))</f>
        <v/>
      </c>
      <c r="AA9" s="46">
        <f>IF($A9="","",IF(AND(ISNUMBER(K9),ISNUMBER(V9)),IF(AND(K9&gt;0,V9&gt;0),IF(V9/K9&lt;=AA$4,V9/K9,"NM"),"NM"),"NM"))</f>
        <v/>
      </c>
      <c r="AB9" s="46">
        <f>IF($A9="","",IF(AND(ISNUMBER(L9),ISNUMBER(D9)),IF(AND(L9&gt;0,D9&gt;0),IF(D9/L9&lt;=AB$4,D9/L9,"NM"),"NM"),"NM"))</f>
        <v/>
      </c>
      <c r="AC9" s="46">
        <f>IF($A9="","",IF(AND(ISNUMBER(M9),ISNUMBER(D9)),IF(AND(M9&gt;0,D9&gt;0),IF(D9/M9&lt;=AC$4,D9/M9,"NM"),"NM"),"NM"))</f>
        <v/>
      </c>
      <c r="AD9" s="46">
        <f>IF($A9="","",IF(AND(ISNUMBER(O9),ISNUMBER(D9)),IF(AND(O9&gt;0,D9&gt;0),IF(D9/O9&lt;=AD$4,D9/O9,"NM"),"NM"),"NM"))</f>
        <v/>
      </c>
      <c r="AE9" s="46">
        <f>IF($A9="","",IF(AND(ISNUMBER(N9),ISNUMBER(D9)),IF(AND(N9&gt;0,D9&gt;0),IF(D9/N9&lt;=AE$4,D9/N9,"NM"),"NM"),"NM"))</f>
        <v/>
      </c>
      <c r="AF9" s="46">
        <f>IF($A9="","",IF(AND(ISNUMBER(P9),ISNUMBER(D9)),IF(AND(P9&gt;0,D9&gt;0),IF(D9/P9&lt;=AF$4,D9/P9,"NM"),"NM"),"NM"))</f>
        <v/>
      </c>
    </row>
    <row r="10">
      <c r="A10" s="28" t="inlineStr">
        <is>
          <t>EBAY</t>
        </is>
      </c>
      <c r="B10" s="28" t="inlineStr">
        <is>
          <t>eBay Inc.</t>
        </is>
      </c>
      <c r="C10" s="43" t="n">
        <v>90</v>
      </c>
      <c r="D10" s="30" t="n">
        <v>41000</v>
      </c>
      <c r="E10" s="30" t="n">
        <v>8000</v>
      </c>
      <c r="F10" s="30" t="n">
        <v>6000</v>
      </c>
      <c r="G10" s="30" t="n">
        <v>10500</v>
      </c>
      <c r="H10" s="30" t="n">
        <v>11000</v>
      </c>
      <c r="I10" s="30" t="n">
        <v>7400</v>
      </c>
      <c r="J10" s="30" t="n">
        <v>3300</v>
      </c>
      <c r="K10" s="30" t="n">
        <v>2800</v>
      </c>
      <c r="L10" s="30" t="n">
        <v>2100</v>
      </c>
      <c r="M10" s="30" t="n">
        <v>2562.5</v>
      </c>
      <c r="N10" s="30" t="n">
        <v>2500</v>
      </c>
      <c r="O10" s="30" t="n">
        <v>2100</v>
      </c>
      <c r="P10" s="30" t="n">
        <v>5000</v>
      </c>
      <c r="Q10" s="44" t="n">
        <v>0.04</v>
      </c>
      <c r="R10" s="44" t="n">
        <v>0.7047619047619048</v>
      </c>
      <c r="S10" s="44" t="n">
        <v>0.3142857142857143</v>
      </c>
      <c r="T10" s="44" t="n">
        <v>0.2</v>
      </c>
      <c r="V10" s="45">
        <f>IF($A10="","",IF(ISNUMBER(D10),D10+N(E10)-N(F10),"NM"))</f>
        <v/>
      </c>
      <c r="W10" s="46">
        <f>IF($A10="","",IF(AND(ISNUMBER(G10),ISNUMBER(V10)),IF(AND(G10&gt;0,V10&gt;0),IF(V10/G10&lt;=W$4,V10/G10,"NM"),"NM"),"NM"))</f>
        <v/>
      </c>
      <c r="X10" s="46">
        <f>IF($A10="","",IF(AND(ISNUMBER(H10),ISNUMBER(V10)),IF(AND(H10&gt;0,V10&gt;0),IF(V10/H10&lt;=X$4,V10/H10,"NM"),"NM"),"NM"))</f>
        <v/>
      </c>
      <c r="Y10" s="46">
        <f>IF($A10="","",IF(AND(ISNUMBER(I10),ISNUMBER(V10)),IF(AND(I10&gt;0,V10&gt;0),IF(V10/I10&lt;=Y$4,V10/I10,"NM"),"NM"),"NM"))</f>
        <v/>
      </c>
      <c r="Z10" s="46">
        <f>IF($A10="","",IF(AND(ISNUMBER(J10),ISNUMBER(V10)),IF(AND(J10&gt;0,V10&gt;0),IF(V10/J10&lt;=Z$4,V10/J10,"NM"),"NM"),"NM"))</f>
        <v/>
      </c>
      <c r="AA10" s="46">
        <f>IF($A10="","",IF(AND(ISNUMBER(K10),ISNUMBER(V10)),IF(AND(K10&gt;0,V10&gt;0),IF(V10/K10&lt;=AA$4,V10/K10,"NM"),"NM"),"NM"))</f>
        <v/>
      </c>
      <c r="AB10" s="46">
        <f>IF($A10="","",IF(AND(ISNUMBER(L10),ISNUMBER(D10)),IF(AND(L10&gt;0,D10&gt;0),IF(D10/L10&lt;=AB$4,D10/L10,"NM"),"NM"),"NM"))</f>
        <v/>
      </c>
      <c r="AC10" s="46">
        <f>IF($A10="","",IF(AND(ISNUMBER(M10),ISNUMBER(D10)),IF(AND(M10&gt;0,D10&gt;0),IF(D10/M10&lt;=AC$4,D10/M10,"NM"),"NM"),"NM"))</f>
        <v/>
      </c>
      <c r="AD10" s="46">
        <f>IF($A10="","",IF(AND(ISNUMBER(O10),ISNUMBER(D10)),IF(AND(O10&gt;0,D10&gt;0),IF(D10/O10&lt;=AD$4,D10/O10,"NM"),"NM"),"NM"))</f>
        <v/>
      </c>
      <c r="AE10" s="46">
        <f>IF($A10="","",IF(AND(ISNUMBER(N10),ISNUMBER(D10)),IF(AND(N10&gt;0,D10&gt;0),IF(D10/N10&lt;=AE$4,D10/N10,"NM"),"NM"),"NM"))</f>
        <v/>
      </c>
      <c r="AF10" s="46">
        <f>IF($A10="","",IF(AND(ISNUMBER(P10),ISNUMBER(D10)),IF(AND(P10&gt;0,D10&gt;0),IF(D10/P10&lt;=AF$4,D10/P10,"NM"),"NM"),"NM"))</f>
        <v/>
      </c>
    </row>
    <row r="11">
      <c r="A11" s="28" t="inlineStr">
        <is>
          <t>CPNG</t>
        </is>
      </c>
      <c r="B11" s="28" t="inlineStr">
        <is>
          <t>Coupang, Inc.</t>
        </is>
      </c>
      <c r="C11" s="43" t="n">
        <v>30</v>
      </c>
      <c r="D11" s="30" t="n">
        <v>54000</v>
      </c>
      <c r="E11" s="30" t="n">
        <v>3000</v>
      </c>
      <c r="F11" s="30" t="n">
        <v>6000</v>
      </c>
      <c r="G11" s="30" t="n">
        <v>33000</v>
      </c>
      <c r="H11" s="30" t="n">
        <v>38000</v>
      </c>
      <c r="I11" s="30" t="n">
        <v>10000</v>
      </c>
      <c r="J11" s="30" t="n">
        <v>1600</v>
      </c>
      <c r="K11" s="30" t="n">
        <v>600</v>
      </c>
      <c r="L11" s="30" t="n">
        <v>200</v>
      </c>
      <c r="M11" s="30" t="n">
        <v>900</v>
      </c>
      <c r="N11" s="30" t="n">
        <v>2000</v>
      </c>
      <c r="O11" s="30" t="n">
        <v>900</v>
      </c>
      <c r="P11" s="30" t="n">
        <v>4000</v>
      </c>
      <c r="Q11" s="44" t="n">
        <v>0.18</v>
      </c>
      <c r="R11" s="44" t="n">
        <v>0.303030303030303</v>
      </c>
      <c r="S11" s="44" t="n">
        <v>0.04848484848484848</v>
      </c>
      <c r="T11" s="44" t="n">
        <v>0.006060606060606061</v>
      </c>
      <c r="V11" s="45">
        <f>IF($A11="","",IF(ISNUMBER(D11),D11+N(E11)-N(F11),"NM"))</f>
        <v/>
      </c>
      <c r="W11" s="46">
        <f>IF($A11="","",IF(AND(ISNUMBER(G11),ISNUMBER(V11)),IF(AND(G11&gt;0,V11&gt;0),IF(V11/G11&lt;=W$4,V11/G11,"NM"),"NM"),"NM"))</f>
        <v/>
      </c>
      <c r="X11" s="46">
        <f>IF($A11="","",IF(AND(ISNUMBER(H11),ISNUMBER(V11)),IF(AND(H11&gt;0,V11&gt;0),IF(V11/H11&lt;=X$4,V11/H11,"NM"),"NM"),"NM"))</f>
        <v/>
      </c>
      <c r="Y11" s="46">
        <f>IF($A11="","",IF(AND(ISNUMBER(I11),ISNUMBER(V11)),IF(AND(I11&gt;0,V11&gt;0),IF(V11/I11&lt;=Y$4,V11/I11,"NM"),"NM"),"NM"))</f>
        <v/>
      </c>
      <c r="Z11" s="46">
        <f>IF($A11="","",IF(AND(ISNUMBER(J11),ISNUMBER(V11)),IF(AND(J11&gt;0,V11&gt;0),IF(V11/J11&lt;=Z$4,V11/J11,"NM"),"NM"),"NM"))</f>
        <v/>
      </c>
      <c r="AA11" s="46">
        <f>IF($A11="","",IF(AND(ISNUMBER(K11),ISNUMBER(V11)),IF(AND(K11&gt;0,V11&gt;0),IF(V11/K11&lt;=AA$4,V11/K11,"NM"),"NM"),"NM"))</f>
        <v/>
      </c>
      <c r="AB11" s="46">
        <f>IF($A11="","",IF(AND(ISNUMBER(L11),ISNUMBER(D11)),IF(AND(L11&gt;0,D11&gt;0),IF(D11/L11&lt;=AB$4,D11/L11,"NM"),"NM"),"NM"))</f>
        <v/>
      </c>
      <c r="AC11" s="46">
        <f>IF($A11="","",IF(AND(ISNUMBER(M11),ISNUMBER(D11)),IF(AND(M11&gt;0,D11&gt;0),IF(D11/M11&lt;=AC$4,D11/M11,"NM"),"NM"),"NM"))</f>
        <v/>
      </c>
      <c r="AD11" s="46">
        <f>IF($A11="","",IF(AND(ISNUMBER(O11),ISNUMBER(D11)),IF(AND(O11&gt;0,D11&gt;0),IF(D11/O11&lt;=AD$4,D11/O11,"NM"),"NM"),"NM"))</f>
        <v/>
      </c>
      <c r="AE11" s="46">
        <f>IF($A11="","",IF(AND(ISNUMBER(N11),ISNUMBER(D11)),IF(AND(N11&gt;0,D11&gt;0),IF(D11/N11&lt;=AE$4,D11/N11,"NM"),"NM"),"NM"))</f>
        <v/>
      </c>
      <c r="AF11" s="46">
        <f>IF($A11="","",IF(AND(ISNUMBER(P11),ISNUMBER(D11)),IF(AND(P11&gt;0,D11&gt;0),IF(D11/P11&lt;=AF$4,D11/P11,"NM"),"NM"),"NM"))</f>
        <v/>
      </c>
    </row>
    <row r="12">
      <c r="A12" s="28" t="n"/>
      <c r="B12" s="28" t="n"/>
      <c r="C12" s="43" t="n"/>
      <c r="D12" s="30" t="n"/>
      <c r="E12" s="30" t="n"/>
      <c r="F12" s="30" t="n"/>
      <c r="G12" s="30" t="n"/>
      <c r="H12" s="30" t="n"/>
      <c r="I12" s="30" t="n"/>
      <c r="J12" s="30" t="n"/>
      <c r="K12" s="30" t="n"/>
      <c r="L12" s="30" t="n"/>
      <c r="M12" s="30" t="n"/>
      <c r="N12" s="30" t="n"/>
      <c r="O12" s="30" t="n"/>
      <c r="P12" s="30" t="n"/>
      <c r="Q12" s="44" t="n"/>
      <c r="R12" s="44" t="n"/>
      <c r="S12" s="44" t="n"/>
      <c r="T12" s="44" t="n"/>
      <c r="V12" s="45">
        <f>IF($A12="","",IF(ISNUMBER(D12),D12+N(E12)-N(F12),"NM"))</f>
        <v/>
      </c>
      <c r="W12" s="46">
        <f>IF($A12="","",IF(AND(ISNUMBER(G12),ISNUMBER(V12)),IF(AND(G12&gt;0,V12&gt;0),IF(V12/G12&lt;=W$4,V12/G12,"NM"),"NM"),"NM"))</f>
        <v/>
      </c>
      <c r="X12" s="46">
        <f>IF($A12="","",IF(AND(ISNUMBER(H12),ISNUMBER(V12)),IF(AND(H12&gt;0,V12&gt;0),IF(V12/H12&lt;=X$4,V12/H12,"NM"),"NM"),"NM"))</f>
        <v/>
      </c>
      <c r="Y12" s="46">
        <f>IF($A12="","",IF(AND(ISNUMBER(I12),ISNUMBER(V12)),IF(AND(I12&gt;0,V12&gt;0),IF(V12/I12&lt;=Y$4,V12/I12,"NM"),"NM"),"NM"))</f>
        <v/>
      </c>
      <c r="Z12" s="46">
        <f>IF($A12="","",IF(AND(ISNUMBER(J12),ISNUMBER(V12)),IF(AND(J12&gt;0,V12&gt;0),IF(V12/J12&lt;=Z$4,V12/J12,"NM"),"NM"),"NM"))</f>
        <v/>
      </c>
      <c r="AA12" s="46">
        <f>IF($A12="","",IF(AND(ISNUMBER(K12),ISNUMBER(V12)),IF(AND(K12&gt;0,V12&gt;0),IF(V12/K12&lt;=AA$4,V12/K12,"NM"),"NM"),"NM"))</f>
        <v/>
      </c>
      <c r="AB12" s="46">
        <f>IF($A12="","",IF(AND(ISNUMBER(L12),ISNUMBER(D12)),IF(AND(L12&gt;0,D12&gt;0),IF(D12/L12&lt;=AB$4,D12/L12,"NM"),"NM"),"NM"))</f>
        <v/>
      </c>
      <c r="AC12" s="46">
        <f>IF($A12="","",IF(AND(ISNUMBER(M12),ISNUMBER(D12)),IF(AND(M12&gt;0,D12&gt;0),IF(D12/M12&lt;=AC$4,D12/M12,"NM"),"NM"),"NM"))</f>
        <v/>
      </c>
      <c r="AD12" s="46">
        <f>IF($A12="","",IF(AND(ISNUMBER(O12),ISNUMBER(D12)),IF(AND(O12&gt;0,D12&gt;0),IF(D12/O12&lt;=AD$4,D12/O12,"NM"),"NM"),"NM"))</f>
        <v/>
      </c>
      <c r="AE12" s="46">
        <f>IF($A12="","",IF(AND(ISNUMBER(N12),ISNUMBER(D12)),IF(AND(N12&gt;0,D12&gt;0),IF(D12/N12&lt;=AE$4,D12/N12,"NM"),"NM"),"NM"))</f>
        <v/>
      </c>
      <c r="AF12" s="46">
        <f>IF($A12="","",IF(AND(ISNUMBER(P12),ISNUMBER(D12)),IF(AND(P12&gt;0,D12&gt;0),IF(D12/P12&lt;=AF$4,D12/P12,"NM"),"NM"),"NM"))</f>
        <v/>
      </c>
    </row>
    <row r="13">
      <c r="A13" s="28" t="n"/>
      <c r="B13" s="28" t="n"/>
      <c r="C13" s="43" t="n"/>
      <c r="D13" s="30" t="n"/>
      <c r="E13" s="30" t="n"/>
      <c r="F13" s="30" t="n"/>
      <c r="G13" s="30" t="n"/>
      <c r="H13" s="30" t="n"/>
      <c r="I13" s="30" t="n"/>
      <c r="J13" s="30" t="n"/>
      <c r="K13" s="30" t="n"/>
      <c r="L13" s="30" t="n"/>
      <c r="M13" s="30" t="n"/>
      <c r="N13" s="30" t="n"/>
      <c r="O13" s="30" t="n"/>
      <c r="P13" s="30" t="n"/>
      <c r="Q13" s="44" t="n"/>
      <c r="R13" s="44" t="n"/>
      <c r="S13" s="44" t="n"/>
      <c r="T13" s="44" t="n"/>
      <c r="V13" s="45">
        <f>IF($A13="","",IF(ISNUMBER(D13),D13+N(E13)-N(F13),"NM"))</f>
        <v/>
      </c>
      <c r="W13" s="46">
        <f>IF($A13="","",IF(AND(ISNUMBER(G13),ISNUMBER(V13)),IF(AND(G13&gt;0,V13&gt;0),IF(V13/G13&lt;=W$4,V13/G13,"NM"),"NM"),"NM"))</f>
        <v/>
      </c>
      <c r="X13" s="46">
        <f>IF($A13="","",IF(AND(ISNUMBER(H13),ISNUMBER(V13)),IF(AND(H13&gt;0,V13&gt;0),IF(V13/H13&lt;=X$4,V13/H13,"NM"),"NM"),"NM"))</f>
        <v/>
      </c>
      <c r="Y13" s="46">
        <f>IF($A13="","",IF(AND(ISNUMBER(I13),ISNUMBER(V13)),IF(AND(I13&gt;0,V13&gt;0),IF(V13/I13&lt;=Y$4,V13/I13,"NM"),"NM"),"NM"))</f>
        <v/>
      </c>
      <c r="Z13" s="46">
        <f>IF($A13="","",IF(AND(ISNUMBER(J13),ISNUMBER(V13)),IF(AND(J13&gt;0,V13&gt;0),IF(V13/J13&lt;=Z$4,V13/J13,"NM"),"NM"),"NM"))</f>
        <v/>
      </c>
      <c r="AA13" s="46">
        <f>IF($A13="","",IF(AND(ISNUMBER(K13),ISNUMBER(V13)),IF(AND(K13&gt;0,V13&gt;0),IF(V13/K13&lt;=AA$4,V13/K13,"NM"),"NM"),"NM"))</f>
        <v/>
      </c>
      <c r="AB13" s="46">
        <f>IF($A13="","",IF(AND(ISNUMBER(L13),ISNUMBER(D13)),IF(AND(L13&gt;0,D13&gt;0),IF(D13/L13&lt;=AB$4,D13/L13,"NM"),"NM"),"NM"))</f>
        <v/>
      </c>
      <c r="AC13" s="46">
        <f>IF($A13="","",IF(AND(ISNUMBER(M13),ISNUMBER(D13)),IF(AND(M13&gt;0,D13&gt;0),IF(D13/M13&lt;=AC$4,D13/M13,"NM"),"NM"),"NM"))</f>
        <v/>
      </c>
      <c r="AD13" s="46">
        <f>IF($A13="","",IF(AND(ISNUMBER(O13),ISNUMBER(D13)),IF(AND(O13&gt;0,D13&gt;0),IF(D13/O13&lt;=AD$4,D13/O13,"NM"),"NM"),"NM"))</f>
        <v/>
      </c>
      <c r="AE13" s="46">
        <f>IF($A13="","",IF(AND(ISNUMBER(N13),ISNUMBER(D13)),IF(AND(N13&gt;0,D13&gt;0),IF(D13/N13&lt;=AE$4,D13/N13,"NM"),"NM"),"NM"))</f>
        <v/>
      </c>
      <c r="AF13" s="46">
        <f>IF($A13="","",IF(AND(ISNUMBER(P13),ISNUMBER(D13)),IF(AND(P13&gt;0,D13&gt;0),IF(D13/P13&lt;=AF$4,D13/P13,"NM"),"NM"),"NM"))</f>
        <v/>
      </c>
    </row>
    <row r="14">
      <c r="A14" s="28" t="n"/>
      <c r="B14" s="28" t="n"/>
      <c r="C14" s="43" t="n"/>
      <c r="D14" s="30" t="n"/>
      <c r="E14" s="30" t="n"/>
      <c r="F14" s="30" t="n"/>
      <c r="G14" s="30" t="n"/>
      <c r="H14" s="30" t="n"/>
      <c r="I14" s="30" t="n"/>
      <c r="J14" s="30" t="n"/>
      <c r="K14" s="30" t="n"/>
      <c r="L14" s="30" t="n"/>
      <c r="M14" s="30" t="n"/>
      <c r="N14" s="30" t="n"/>
      <c r="O14" s="30" t="n"/>
      <c r="P14" s="30" t="n"/>
      <c r="Q14" s="44" t="n"/>
      <c r="R14" s="44" t="n"/>
      <c r="S14" s="44" t="n"/>
      <c r="T14" s="44" t="n"/>
      <c r="V14" s="45">
        <f>IF($A14="","",IF(ISNUMBER(D14),D14+N(E14)-N(F14),"NM"))</f>
        <v/>
      </c>
      <c r="W14" s="46">
        <f>IF($A14="","",IF(AND(ISNUMBER(G14),ISNUMBER(V14)),IF(AND(G14&gt;0,V14&gt;0),IF(V14/G14&lt;=W$4,V14/G14,"NM"),"NM"),"NM"))</f>
        <v/>
      </c>
      <c r="X14" s="46">
        <f>IF($A14="","",IF(AND(ISNUMBER(H14),ISNUMBER(V14)),IF(AND(H14&gt;0,V14&gt;0),IF(V14/H14&lt;=X$4,V14/H14,"NM"),"NM"),"NM"))</f>
        <v/>
      </c>
      <c r="Y14" s="46">
        <f>IF($A14="","",IF(AND(ISNUMBER(I14),ISNUMBER(V14)),IF(AND(I14&gt;0,V14&gt;0),IF(V14/I14&lt;=Y$4,V14/I14,"NM"),"NM"),"NM"))</f>
        <v/>
      </c>
      <c r="Z14" s="46">
        <f>IF($A14="","",IF(AND(ISNUMBER(J14),ISNUMBER(V14)),IF(AND(J14&gt;0,V14&gt;0),IF(V14/J14&lt;=Z$4,V14/J14,"NM"),"NM"),"NM"))</f>
        <v/>
      </c>
      <c r="AA14" s="46">
        <f>IF($A14="","",IF(AND(ISNUMBER(K14),ISNUMBER(V14)),IF(AND(K14&gt;0,V14&gt;0),IF(V14/K14&lt;=AA$4,V14/K14,"NM"),"NM"),"NM"))</f>
        <v/>
      </c>
      <c r="AB14" s="46">
        <f>IF($A14="","",IF(AND(ISNUMBER(L14),ISNUMBER(D14)),IF(AND(L14&gt;0,D14&gt;0),IF(D14/L14&lt;=AB$4,D14/L14,"NM"),"NM"),"NM"))</f>
        <v/>
      </c>
      <c r="AC14" s="46">
        <f>IF($A14="","",IF(AND(ISNUMBER(M14),ISNUMBER(D14)),IF(AND(M14&gt;0,D14&gt;0),IF(D14/M14&lt;=AC$4,D14/M14,"NM"),"NM"),"NM"))</f>
        <v/>
      </c>
      <c r="AD14" s="46">
        <f>IF($A14="","",IF(AND(ISNUMBER(O14),ISNUMBER(D14)),IF(AND(O14&gt;0,D14&gt;0),IF(D14/O14&lt;=AD$4,D14/O14,"NM"),"NM"),"NM"))</f>
        <v/>
      </c>
      <c r="AE14" s="46">
        <f>IF($A14="","",IF(AND(ISNUMBER(N14),ISNUMBER(D14)),IF(AND(N14&gt;0,D14&gt;0),IF(D14/N14&lt;=AE$4,D14/N14,"NM"),"NM"),"NM"))</f>
        <v/>
      </c>
      <c r="AF14" s="46">
        <f>IF($A14="","",IF(AND(ISNUMBER(P14),ISNUMBER(D14)),IF(AND(P14&gt;0,D14&gt;0),IF(D14/P14&lt;=AF$4,D14/P14,"NM"),"NM"),"NM"))</f>
        <v/>
      </c>
    </row>
    <row r="15">
      <c r="B15" s="47" t="inlineStr">
        <is>
          <t>Peer statistics (excluding target)</t>
        </is>
      </c>
    </row>
    <row r="16">
      <c r="B16" s="48" t="inlineStr">
        <is>
          <t>Maximum</t>
        </is>
      </c>
      <c r="Q16" s="49">
        <f>IF(COUNT(Q7:Q14)=0,"NM",MAX(Q7:Q14))</f>
        <v/>
      </c>
      <c r="R16" s="49">
        <f>IF(COUNT(R7:R14)=0,"NM",MAX(R7:R14))</f>
        <v/>
      </c>
      <c r="S16" s="49">
        <f>IF(COUNT(S7:S14)=0,"NM",MAX(S7:S14))</f>
        <v/>
      </c>
      <c r="T16" s="49">
        <f>IF(COUNT(T7:T14)=0,"NM",MAX(T7:T14))</f>
        <v/>
      </c>
      <c r="W16" s="50">
        <f>IF(COUNT(W7:W14)=0,"NM",MAX(W7:W14))</f>
        <v/>
      </c>
      <c r="X16" s="50">
        <f>IF(COUNT(X7:X14)=0,"NM",MAX(X7:X14))</f>
        <v/>
      </c>
      <c r="Y16" s="50">
        <f>IF(COUNT(Y7:Y14)=0,"NM",MAX(Y7:Y14))</f>
        <v/>
      </c>
      <c r="Z16" s="50">
        <f>IF(COUNT(Z7:Z14)=0,"NM",MAX(Z7:Z14))</f>
        <v/>
      </c>
      <c r="AA16" s="50">
        <f>IF(COUNT(AA7:AA14)=0,"NM",MAX(AA7:AA14))</f>
        <v/>
      </c>
      <c r="AB16" s="50">
        <f>IF(COUNT(AB7:AB14)=0,"NM",MAX(AB7:AB14))</f>
        <v/>
      </c>
      <c r="AC16" s="50">
        <f>IF(COUNT(AC7:AC14)=0,"NM",MAX(AC7:AC14))</f>
        <v/>
      </c>
      <c r="AD16" s="50">
        <f>IF(COUNT(AD7:AD14)=0,"NM",MAX(AD7:AD14))</f>
        <v/>
      </c>
      <c r="AE16" s="50">
        <f>IF(COUNT(AE7:AE14)=0,"NM",MAX(AE7:AE14))</f>
        <v/>
      </c>
      <c r="AF16" s="50">
        <f>IF(COUNT(AF7:AF14)=0,"NM",MAX(AF7:AF14))</f>
        <v/>
      </c>
    </row>
    <row r="17">
      <c r="B17" s="48" t="inlineStr">
        <is>
          <t>75th Percentile</t>
        </is>
      </c>
      <c r="Q17" s="49">
        <f>IF(COUNT(Q7:Q14)=0,"NM",PERCENTILE(Q7:Q14,0.75))</f>
        <v/>
      </c>
      <c r="R17" s="49">
        <f>IF(COUNT(R7:R14)=0,"NM",PERCENTILE(R7:R14,0.75))</f>
        <v/>
      </c>
      <c r="S17" s="49">
        <f>IF(COUNT(S7:S14)=0,"NM",PERCENTILE(S7:S14,0.75))</f>
        <v/>
      </c>
      <c r="T17" s="49">
        <f>IF(COUNT(T7:T14)=0,"NM",PERCENTILE(T7:T14,0.75))</f>
        <v/>
      </c>
      <c r="W17" s="50">
        <f>IF(COUNT(W7:W14)=0,"NM",PERCENTILE(W7:W14,0.75))</f>
        <v/>
      </c>
      <c r="X17" s="50">
        <f>IF(COUNT(X7:X14)=0,"NM",PERCENTILE(X7:X14,0.75))</f>
        <v/>
      </c>
      <c r="Y17" s="50">
        <f>IF(COUNT(Y7:Y14)=0,"NM",PERCENTILE(Y7:Y14,0.75))</f>
        <v/>
      </c>
      <c r="Z17" s="50">
        <f>IF(COUNT(Z7:Z14)=0,"NM",PERCENTILE(Z7:Z14,0.75))</f>
        <v/>
      </c>
      <c r="AA17" s="50">
        <f>IF(COUNT(AA7:AA14)=0,"NM",PERCENTILE(AA7:AA14,0.75))</f>
        <v/>
      </c>
      <c r="AB17" s="50">
        <f>IF(COUNT(AB7:AB14)=0,"NM",PERCENTILE(AB7:AB14,0.75))</f>
        <v/>
      </c>
      <c r="AC17" s="50">
        <f>IF(COUNT(AC7:AC14)=0,"NM",PERCENTILE(AC7:AC14,0.75))</f>
        <v/>
      </c>
      <c r="AD17" s="50">
        <f>IF(COUNT(AD7:AD14)=0,"NM",PERCENTILE(AD7:AD14,0.75))</f>
        <v/>
      </c>
      <c r="AE17" s="50">
        <f>IF(COUNT(AE7:AE14)=0,"NM",PERCENTILE(AE7:AE14,0.75))</f>
        <v/>
      </c>
      <c r="AF17" s="50">
        <f>IF(COUNT(AF7:AF14)=0,"NM",PERCENTILE(AF7:AF14,0.75))</f>
        <v/>
      </c>
    </row>
    <row r="18">
      <c r="B18" s="48" t="inlineStr">
        <is>
          <t>Mean</t>
        </is>
      </c>
      <c r="Q18" s="49">
        <f>IF(COUNT(Q7:Q14)=0,"NM",AVERAGE(Q7:Q14))</f>
        <v/>
      </c>
      <c r="R18" s="49">
        <f>IF(COUNT(R7:R14)=0,"NM",AVERAGE(R7:R14))</f>
        <v/>
      </c>
      <c r="S18" s="49">
        <f>IF(COUNT(S7:S14)=0,"NM",AVERAGE(S7:S14))</f>
        <v/>
      </c>
      <c r="T18" s="49">
        <f>IF(COUNT(T7:T14)=0,"NM",AVERAGE(T7:T14))</f>
        <v/>
      </c>
      <c r="W18" s="50">
        <f>IF(COUNT(W7:W14)=0,"NM",AVERAGE(W7:W14))</f>
        <v/>
      </c>
      <c r="X18" s="50">
        <f>IF(COUNT(X7:X14)=0,"NM",AVERAGE(X7:X14))</f>
        <v/>
      </c>
      <c r="Y18" s="50">
        <f>IF(COUNT(Y7:Y14)=0,"NM",AVERAGE(Y7:Y14))</f>
        <v/>
      </c>
      <c r="Z18" s="50">
        <f>IF(COUNT(Z7:Z14)=0,"NM",AVERAGE(Z7:Z14))</f>
        <v/>
      </c>
      <c r="AA18" s="50">
        <f>IF(COUNT(AA7:AA14)=0,"NM",AVERAGE(AA7:AA14))</f>
        <v/>
      </c>
      <c r="AB18" s="50">
        <f>IF(COUNT(AB7:AB14)=0,"NM",AVERAGE(AB7:AB14))</f>
        <v/>
      </c>
      <c r="AC18" s="50">
        <f>IF(COUNT(AC7:AC14)=0,"NM",AVERAGE(AC7:AC14))</f>
        <v/>
      </c>
      <c r="AD18" s="50">
        <f>IF(COUNT(AD7:AD14)=0,"NM",AVERAGE(AD7:AD14))</f>
        <v/>
      </c>
      <c r="AE18" s="50">
        <f>IF(COUNT(AE7:AE14)=0,"NM",AVERAGE(AE7:AE14))</f>
        <v/>
      </c>
      <c r="AF18" s="50">
        <f>IF(COUNT(AF7:AF14)=0,"NM",AVERAGE(AF7:AF14))</f>
        <v/>
      </c>
    </row>
    <row r="19">
      <c r="B19" s="48" t="inlineStr">
        <is>
          <t>Median</t>
        </is>
      </c>
      <c r="Q19" s="49">
        <f>IF(COUNT(Q7:Q14)=0,"NM",MEDIAN(Q7:Q14))</f>
        <v/>
      </c>
      <c r="R19" s="49">
        <f>IF(COUNT(R7:R14)=0,"NM",MEDIAN(R7:R14))</f>
        <v/>
      </c>
      <c r="S19" s="49">
        <f>IF(COUNT(S7:S14)=0,"NM",MEDIAN(S7:S14))</f>
        <v/>
      </c>
      <c r="T19" s="49">
        <f>IF(COUNT(T7:T14)=0,"NM",MEDIAN(T7:T14))</f>
        <v/>
      </c>
      <c r="W19" s="50">
        <f>IF(COUNT(W7:W14)=0,"NM",MEDIAN(W7:W14))</f>
        <v/>
      </c>
      <c r="X19" s="50">
        <f>IF(COUNT(X7:X14)=0,"NM",MEDIAN(X7:X14))</f>
        <v/>
      </c>
      <c r="Y19" s="50">
        <f>IF(COUNT(Y7:Y14)=0,"NM",MEDIAN(Y7:Y14))</f>
        <v/>
      </c>
      <c r="Z19" s="50">
        <f>IF(COUNT(Z7:Z14)=0,"NM",MEDIAN(Z7:Z14))</f>
        <v/>
      </c>
      <c r="AA19" s="50">
        <f>IF(COUNT(AA7:AA14)=0,"NM",MEDIAN(AA7:AA14))</f>
        <v/>
      </c>
      <c r="AB19" s="50">
        <f>IF(COUNT(AB7:AB14)=0,"NM",MEDIAN(AB7:AB14))</f>
        <v/>
      </c>
      <c r="AC19" s="50">
        <f>IF(COUNT(AC7:AC14)=0,"NM",MEDIAN(AC7:AC14))</f>
        <v/>
      </c>
      <c r="AD19" s="50">
        <f>IF(COUNT(AD7:AD14)=0,"NM",MEDIAN(AD7:AD14))</f>
        <v/>
      </c>
      <c r="AE19" s="50">
        <f>IF(COUNT(AE7:AE14)=0,"NM",MEDIAN(AE7:AE14))</f>
        <v/>
      </c>
      <c r="AF19" s="50">
        <f>IF(COUNT(AF7:AF14)=0,"NM",MEDIAN(AF7:AF14))</f>
        <v/>
      </c>
    </row>
    <row r="20">
      <c r="B20" s="48" t="inlineStr">
        <is>
          <t>25th Percentile</t>
        </is>
      </c>
      <c r="Q20" s="49">
        <f>IF(COUNT(Q7:Q14)=0,"NM",PERCENTILE(Q7:Q14,0.25))</f>
        <v/>
      </c>
      <c r="R20" s="49">
        <f>IF(COUNT(R7:R14)=0,"NM",PERCENTILE(R7:R14,0.25))</f>
        <v/>
      </c>
      <c r="S20" s="49">
        <f>IF(COUNT(S7:S14)=0,"NM",PERCENTILE(S7:S14,0.25))</f>
        <v/>
      </c>
      <c r="T20" s="49">
        <f>IF(COUNT(T7:T14)=0,"NM",PERCENTILE(T7:T14,0.25))</f>
        <v/>
      </c>
      <c r="W20" s="50">
        <f>IF(COUNT(W7:W14)=0,"NM",PERCENTILE(W7:W14,0.25))</f>
        <v/>
      </c>
      <c r="X20" s="50">
        <f>IF(COUNT(X7:X14)=0,"NM",PERCENTILE(X7:X14,0.25))</f>
        <v/>
      </c>
      <c r="Y20" s="50">
        <f>IF(COUNT(Y7:Y14)=0,"NM",PERCENTILE(Y7:Y14,0.25))</f>
        <v/>
      </c>
      <c r="Z20" s="50">
        <f>IF(COUNT(Z7:Z14)=0,"NM",PERCENTILE(Z7:Z14,0.25))</f>
        <v/>
      </c>
      <c r="AA20" s="50">
        <f>IF(COUNT(AA7:AA14)=0,"NM",PERCENTILE(AA7:AA14,0.25))</f>
        <v/>
      </c>
      <c r="AB20" s="50">
        <f>IF(COUNT(AB7:AB14)=0,"NM",PERCENTILE(AB7:AB14,0.25))</f>
        <v/>
      </c>
      <c r="AC20" s="50">
        <f>IF(COUNT(AC7:AC14)=0,"NM",PERCENTILE(AC7:AC14,0.25))</f>
        <v/>
      </c>
      <c r="AD20" s="50">
        <f>IF(COUNT(AD7:AD14)=0,"NM",PERCENTILE(AD7:AD14,0.25))</f>
        <v/>
      </c>
      <c r="AE20" s="50">
        <f>IF(COUNT(AE7:AE14)=0,"NM",PERCENTILE(AE7:AE14,0.25))</f>
        <v/>
      </c>
      <c r="AF20" s="50">
        <f>IF(COUNT(AF7:AF14)=0,"NM",PERCENTILE(AF7:AF14,0.25))</f>
        <v/>
      </c>
    </row>
    <row r="21">
      <c r="B21" s="48" t="inlineStr">
        <is>
          <t>Minimum</t>
        </is>
      </c>
      <c r="Q21" s="49">
        <f>IF(COUNT(Q7:Q14)=0,"NM",MIN(Q7:Q14))</f>
        <v/>
      </c>
      <c r="R21" s="49">
        <f>IF(COUNT(R7:R14)=0,"NM",MIN(R7:R14))</f>
        <v/>
      </c>
      <c r="S21" s="49">
        <f>IF(COUNT(S7:S14)=0,"NM",MIN(S7:S14))</f>
        <v/>
      </c>
      <c r="T21" s="49">
        <f>IF(COUNT(T7:T14)=0,"NM",MIN(T7:T14))</f>
        <v/>
      </c>
      <c r="W21" s="50">
        <f>IF(COUNT(W7:W14)=0,"NM",MIN(W7:W14))</f>
        <v/>
      </c>
      <c r="X21" s="50">
        <f>IF(COUNT(X7:X14)=0,"NM",MIN(X7:X14))</f>
        <v/>
      </c>
      <c r="Y21" s="50">
        <f>IF(COUNT(Y7:Y14)=0,"NM",MIN(Y7:Y14))</f>
        <v/>
      </c>
      <c r="Z21" s="50">
        <f>IF(COUNT(Z7:Z14)=0,"NM",MIN(Z7:Z14))</f>
        <v/>
      </c>
      <c r="AA21" s="50">
        <f>IF(COUNT(AA7:AA14)=0,"NM",MIN(AA7:AA14))</f>
        <v/>
      </c>
      <c r="AB21" s="50">
        <f>IF(COUNT(AB7:AB14)=0,"NM",MIN(AB7:AB14))</f>
        <v/>
      </c>
      <c r="AC21" s="50">
        <f>IF(COUNT(AC7:AC14)=0,"NM",MIN(AC7:AC14))</f>
        <v/>
      </c>
      <c r="AD21" s="50">
        <f>IF(COUNT(AD7:AD14)=0,"NM",MIN(AD7:AD14))</f>
        <v/>
      </c>
      <c r="AE21" s="50">
        <f>IF(COUNT(AE7:AE14)=0,"NM",MIN(AE7:AE14))</f>
        <v/>
      </c>
      <c r="AF21" s="50">
        <f>IF(COUNT(AF7:AF14)=0,"NM",MIN(AF7:AF14))</f>
        <v/>
      </c>
    </row>
    <row r="23">
      <c r="B23" s="23">
        <f>IF($A$6="","Target",$A$6)&amp;" vs. peer median"</f>
        <v/>
      </c>
      <c r="Q23" s="51">
        <f>IF(AND(ISNUMBER(Q6),ISNUMBER(Q19)),Q6-Q19,"NM")</f>
        <v/>
      </c>
      <c r="R23" s="51">
        <f>IF(AND(ISNUMBER(R6),ISNUMBER(R19)),R6-R19,"NM")</f>
        <v/>
      </c>
      <c r="S23" s="51">
        <f>IF(AND(ISNUMBER(S6),ISNUMBER(S19)),S6-S19,"NM")</f>
        <v/>
      </c>
      <c r="T23" s="51">
        <f>IF(AND(ISNUMBER(T6),ISNUMBER(T19)),T6-T19,"NM")</f>
        <v/>
      </c>
      <c r="W23" s="51">
        <f>IF(AND(ISNUMBER(W6),ISNUMBER(W19)),W6/W19-1,"NM")</f>
        <v/>
      </c>
      <c r="X23" s="51">
        <f>IF(AND(ISNUMBER(X6),ISNUMBER(X19)),X6/X19-1,"NM")</f>
        <v/>
      </c>
      <c r="Y23" s="51">
        <f>IF(AND(ISNUMBER(Y6),ISNUMBER(Y19)),Y6/Y19-1,"NM")</f>
        <v/>
      </c>
      <c r="Z23" s="51">
        <f>IF(AND(ISNUMBER(Z6),ISNUMBER(Z19)),Z6/Z19-1,"NM")</f>
        <v/>
      </c>
      <c r="AA23" s="51">
        <f>IF(AND(ISNUMBER(AA6),ISNUMBER(AA19)),AA6/AA19-1,"NM")</f>
        <v/>
      </c>
      <c r="AB23" s="51">
        <f>IF(AND(ISNUMBER(AB6),ISNUMBER(AB19)),AB6/AB19-1,"NM")</f>
        <v/>
      </c>
      <c r="AC23" s="51">
        <f>IF(AND(ISNUMBER(AC6),ISNUMBER(AC19)),AC6/AC19-1,"NM")</f>
        <v/>
      </c>
      <c r="AD23" s="51">
        <f>IF(AND(ISNUMBER(AD6),ISNUMBER(AD19)),AD6/AD19-1,"NM")</f>
        <v/>
      </c>
      <c r="AE23" s="51">
        <f>IF(AND(ISNUMBER(AE6),ISNUMBER(AE19)),AE6/AE19-1,"NM")</f>
        <v/>
      </c>
      <c r="AF23" s="51">
        <f>IF(AND(ISNUMBER(AF6),ISNUMBER(AF19)),AF6/AF19-1,"NM")</f>
        <v/>
      </c>
    </row>
    <row r="24">
      <c r="B24" s="52" t="inlineStr">
        <is>
          <t>Margin/growth columns: difference in percentage points. Multiple columns: premium (+) / discount (−) vs. the peer median.</t>
        </is>
      </c>
    </row>
  </sheetData>
  <conditionalFormatting sqref="W5:AF5">
    <cfRule type="expression" priority="1" dxfId="1">
      <formula>COUNTIF(Dashboard!$B$21:$B$26,W5)&gt;0</formula>
    </cfRule>
  </conditionalFormatting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16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24" customWidth="1" min="2" max="2"/>
    <col width="8" customWidth="1" min="3" max="3"/>
    <col width="13" customWidth="1" min="4" max="4"/>
    <col width="12" customWidth="1" min="5" max="5"/>
    <col width="11" customWidth="1" min="6" max="6"/>
    <col width="11" customWidth="1" min="7" max="7"/>
    <col width="11" customWidth="1" min="8" max="8"/>
    <col width="13" customWidth="1" min="9" max="9"/>
    <col width="13" customWidth="1" min="10" max="10"/>
    <col width="13" customWidth="1" min="11" max="11"/>
    <col width="13" customWidth="1" min="12" max="12"/>
    <col width="10" customWidth="1" min="13" max="13"/>
  </cols>
  <sheetData>
    <row r="1">
      <c r="A1" s="8" t="inlineStr">
        <is>
          <t>Implied Valuation from Peer Multiples</t>
        </is>
      </c>
    </row>
    <row r="2">
      <c r="A2" s="34" t="inlineStr">
        <is>
          <t>Implied price = (peer multiple × target metric − net debt for EV multiples) ÷ shares. Multiples and blend flags come from the Dashboard.</t>
        </is>
      </c>
    </row>
    <row r="4">
      <c r="A4" s="2" t="inlineStr">
        <is>
          <t>Current share price</t>
        </is>
      </c>
      <c r="C4" s="53">
        <f>Comps!C6</f>
        <v/>
      </c>
    </row>
    <row r="5">
      <c r="A5" s="2" t="inlineStr">
        <is>
          <t>Shares outstanding (mm, implied)</t>
        </is>
      </c>
      <c r="C5" s="54">
        <f>IFERROR(Comps!D6/Comps!C6,"NM")</f>
        <v/>
      </c>
    </row>
    <row r="6">
      <c r="A6" s="2" t="inlineStr">
        <is>
          <t>Net debt ($mm)</t>
        </is>
      </c>
      <c r="C6" s="54">
        <f>N(Comps!E6)-N(Comps!F6)</f>
        <v/>
      </c>
    </row>
    <row r="8" ht="30" customHeight="1">
      <c r="A8" s="15" t="inlineStr">
        <is>
          <t>Multiple</t>
        </is>
      </c>
      <c r="B8" s="15" t="inlineStr">
        <is>
          <t>Target metric</t>
        </is>
      </c>
      <c r="C8" s="15" t="inlineStr">
        <is>
          <t>Type</t>
        </is>
      </c>
      <c r="D8" s="15" t="inlineStr">
        <is>
          <t>Metric ($mm)</t>
        </is>
      </c>
      <c r="E8" s="15" t="inlineStr">
        <is>
          <t>Target multiple</t>
        </is>
      </c>
      <c r="F8" s="15" t="inlineStr">
        <is>
          <t>Peer 25th</t>
        </is>
      </c>
      <c r="G8" s="15" t="inlineStr">
        <is>
          <t>Peer median</t>
        </is>
      </c>
      <c r="H8" s="15" t="inlineStr">
        <is>
          <t>Peer 75th</t>
        </is>
      </c>
      <c r="I8" s="15" t="inlineStr">
        <is>
          <t>Implied @ 25th</t>
        </is>
      </c>
      <c r="J8" s="15" t="inlineStr">
        <is>
          <t>Implied @ median</t>
        </is>
      </c>
      <c r="K8" s="15" t="inlineStr">
        <is>
          <t>Implied @ 75th</t>
        </is>
      </c>
      <c r="L8" s="15" t="inlineStr">
        <is>
          <t>Upside @ median</t>
        </is>
      </c>
      <c r="M8" s="15" t="inlineStr">
        <is>
          <t>Use in blend</t>
        </is>
      </c>
    </row>
    <row r="9">
      <c r="A9" s="55">
        <f>IF(Dashboard!$B21="","",Dashboard!$B21)</f>
        <v/>
      </c>
      <c r="B9" s="56">
        <f>IF($A9="","",IFERROR(INDEX(Lists!$B$2:$B$11,MATCH($A9,Lists!$A$2:$A$11,0)),"?"))</f>
        <v/>
      </c>
      <c r="C9" s="57">
        <f>IF($A9="","",IFERROR(INDEX(Lists!$C$2:$C$11,MATCH($A9,Lists!$A$2:$A$11,0)),"?"))</f>
        <v/>
      </c>
      <c r="D9" s="45">
        <f>IF($A9="","",IFERROR(INDEX(Comps!$A$6:$T$6,MATCH($B9,Comps!$A$5:$T$5,0)),"NM"))</f>
        <v/>
      </c>
      <c r="E9" s="46">
        <f>IF($A9="","",IFERROR(INDEX(Comps!$W$6:$AF$6,MATCH($A9,Comps!$W$5:$AF$5,0)),"NM"))</f>
        <v/>
      </c>
      <c r="F9" s="46">
        <f>IF($A9="","",IFERROR(INDEX(Comps!$W$20:$AF$20,MATCH($A9,Comps!$W$5:$AF$5,0)),"NM"))</f>
        <v/>
      </c>
      <c r="G9" s="46">
        <f>IF($A9="","",IFERROR(INDEX(Comps!$W$19:$AF$19,MATCH($A9,Comps!$W$5:$AF$5,0)),"NM"))</f>
        <v/>
      </c>
      <c r="H9" s="46">
        <f>IF($A9="","",IFERROR(INDEX(Comps!$W$17:$AF$17,MATCH($A9,Comps!$W$5:$AF$5,0)),"NM"))</f>
        <v/>
      </c>
      <c r="I9" s="58">
        <f>IF($A9="","",IF(AND(ISNUMBER(F9),ISNUMBER($D9),ISNUMBER($C$5)),IF($D9&gt;0,MAX(0,(F9*$D9-IF($C9="EV",$C$6,0))/$C$5),"NM"),"NM"))</f>
        <v/>
      </c>
      <c r="J9" s="58">
        <f>IF($A9="","",IF(AND(ISNUMBER(G9),ISNUMBER($D9),ISNUMBER($C$5)),IF($D9&gt;0,MAX(0,(G9*$D9-IF($C9="EV",$C$6,0))/$C$5),"NM"),"NM"))</f>
        <v/>
      </c>
      <c r="K9" s="58">
        <f>IF($A9="","",IF(AND(ISNUMBER(H9),ISNUMBER($D9),ISNUMBER($C$5)),IF($D9&gt;0,MAX(0,(H9*$D9-IF($C9="EV",$C$6,0))/$C$5),"NM"),"NM"))</f>
        <v/>
      </c>
      <c r="L9" s="19">
        <f>IF($A9="","",IF(ISNUMBER(J9),J9/$C$4-1,"NM"))</f>
        <v/>
      </c>
      <c r="M9" s="59">
        <f>IF($A9="","",Dashboard!$C21)</f>
        <v/>
      </c>
    </row>
    <row r="10">
      <c r="A10" s="55">
        <f>IF(Dashboard!$B22="","",Dashboard!$B22)</f>
        <v/>
      </c>
      <c r="B10" s="56">
        <f>IF($A10="","",IFERROR(INDEX(Lists!$B$2:$B$11,MATCH($A10,Lists!$A$2:$A$11,0)),"?"))</f>
        <v/>
      </c>
      <c r="C10" s="57">
        <f>IF($A10="","",IFERROR(INDEX(Lists!$C$2:$C$11,MATCH($A10,Lists!$A$2:$A$11,0)),"?"))</f>
        <v/>
      </c>
      <c r="D10" s="45">
        <f>IF($A10="","",IFERROR(INDEX(Comps!$A$6:$T$6,MATCH($B10,Comps!$A$5:$T$5,0)),"NM"))</f>
        <v/>
      </c>
      <c r="E10" s="46">
        <f>IF($A10="","",IFERROR(INDEX(Comps!$W$6:$AF$6,MATCH($A10,Comps!$W$5:$AF$5,0)),"NM"))</f>
        <v/>
      </c>
      <c r="F10" s="46">
        <f>IF($A10="","",IFERROR(INDEX(Comps!$W$20:$AF$20,MATCH($A10,Comps!$W$5:$AF$5,0)),"NM"))</f>
        <v/>
      </c>
      <c r="G10" s="46">
        <f>IF($A10="","",IFERROR(INDEX(Comps!$W$19:$AF$19,MATCH($A10,Comps!$W$5:$AF$5,0)),"NM"))</f>
        <v/>
      </c>
      <c r="H10" s="46">
        <f>IF($A10="","",IFERROR(INDEX(Comps!$W$17:$AF$17,MATCH($A10,Comps!$W$5:$AF$5,0)),"NM"))</f>
        <v/>
      </c>
      <c r="I10" s="58">
        <f>IF($A10="","",IF(AND(ISNUMBER(F10),ISNUMBER($D10),ISNUMBER($C$5)),IF($D10&gt;0,MAX(0,(F10*$D10-IF($C10="EV",$C$6,0))/$C$5),"NM"),"NM"))</f>
        <v/>
      </c>
      <c r="J10" s="58">
        <f>IF($A10="","",IF(AND(ISNUMBER(G10),ISNUMBER($D10),ISNUMBER($C$5)),IF($D10&gt;0,MAX(0,(G10*$D10-IF($C10="EV",$C$6,0))/$C$5),"NM"),"NM"))</f>
        <v/>
      </c>
      <c r="K10" s="58">
        <f>IF($A10="","",IF(AND(ISNUMBER(H10),ISNUMBER($D10),ISNUMBER($C$5)),IF($D10&gt;0,MAX(0,(H10*$D10-IF($C10="EV",$C$6,0))/$C$5),"NM"),"NM"))</f>
        <v/>
      </c>
      <c r="L10" s="19">
        <f>IF($A10="","",IF(ISNUMBER(J10),J10/$C$4-1,"NM"))</f>
        <v/>
      </c>
      <c r="M10" s="59">
        <f>IF($A10="","",Dashboard!$C22)</f>
        <v/>
      </c>
    </row>
    <row r="11">
      <c r="A11" s="55">
        <f>IF(Dashboard!$B23="","",Dashboard!$B23)</f>
        <v/>
      </c>
      <c r="B11" s="56">
        <f>IF($A11="","",IFERROR(INDEX(Lists!$B$2:$B$11,MATCH($A11,Lists!$A$2:$A$11,0)),"?"))</f>
        <v/>
      </c>
      <c r="C11" s="57">
        <f>IF($A11="","",IFERROR(INDEX(Lists!$C$2:$C$11,MATCH($A11,Lists!$A$2:$A$11,0)),"?"))</f>
        <v/>
      </c>
      <c r="D11" s="45">
        <f>IF($A11="","",IFERROR(INDEX(Comps!$A$6:$T$6,MATCH($B11,Comps!$A$5:$T$5,0)),"NM"))</f>
        <v/>
      </c>
      <c r="E11" s="46">
        <f>IF($A11="","",IFERROR(INDEX(Comps!$W$6:$AF$6,MATCH($A11,Comps!$W$5:$AF$5,0)),"NM"))</f>
        <v/>
      </c>
      <c r="F11" s="46">
        <f>IF($A11="","",IFERROR(INDEX(Comps!$W$20:$AF$20,MATCH($A11,Comps!$W$5:$AF$5,0)),"NM"))</f>
        <v/>
      </c>
      <c r="G11" s="46">
        <f>IF($A11="","",IFERROR(INDEX(Comps!$W$19:$AF$19,MATCH($A11,Comps!$W$5:$AF$5,0)),"NM"))</f>
        <v/>
      </c>
      <c r="H11" s="46">
        <f>IF($A11="","",IFERROR(INDEX(Comps!$W$17:$AF$17,MATCH($A11,Comps!$W$5:$AF$5,0)),"NM"))</f>
        <v/>
      </c>
      <c r="I11" s="58">
        <f>IF($A11="","",IF(AND(ISNUMBER(F11),ISNUMBER($D11),ISNUMBER($C$5)),IF($D11&gt;0,MAX(0,(F11*$D11-IF($C11="EV",$C$6,0))/$C$5),"NM"),"NM"))</f>
        <v/>
      </c>
      <c r="J11" s="58">
        <f>IF($A11="","",IF(AND(ISNUMBER(G11),ISNUMBER($D11),ISNUMBER($C$5)),IF($D11&gt;0,MAX(0,(G11*$D11-IF($C11="EV",$C$6,0))/$C$5),"NM"),"NM"))</f>
        <v/>
      </c>
      <c r="K11" s="58">
        <f>IF($A11="","",IF(AND(ISNUMBER(H11),ISNUMBER($D11),ISNUMBER($C$5)),IF($D11&gt;0,MAX(0,(H11*$D11-IF($C11="EV",$C$6,0))/$C$5),"NM"),"NM"))</f>
        <v/>
      </c>
      <c r="L11" s="19">
        <f>IF($A11="","",IF(ISNUMBER(J11),J11/$C$4-1,"NM"))</f>
        <v/>
      </c>
      <c r="M11" s="59">
        <f>IF($A11="","",Dashboard!$C23)</f>
        <v/>
      </c>
    </row>
    <row r="12">
      <c r="A12" s="55">
        <f>IF(Dashboard!$B24="","",Dashboard!$B24)</f>
        <v/>
      </c>
      <c r="B12" s="56">
        <f>IF($A12="","",IFERROR(INDEX(Lists!$B$2:$B$11,MATCH($A12,Lists!$A$2:$A$11,0)),"?"))</f>
        <v/>
      </c>
      <c r="C12" s="57">
        <f>IF($A12="","",IFERROR(INDEX(Lists!$C$2:$C$11,MATCH($A12,Lists!$A$2:$A$11,0)),"?"))</f>
        <v/>
      </c>
      <c r="D12" s="45">
        <f>IF($A12="","",IFERROR(INDEX(Comps!$A$6:$T$6,MATCH($B12,Comps!$A$5:$T$5,0)),"NM"))</f>
        <v/>
      </c>
      <c r="E12" s="46">
        <f>IF($A12="","",IFERROR(INDEX(Comps!$W$6:$AF$6,MATCH($A12,Comps!$W$5:$AF$5,0)),"NM"))</f>
        <v/>
      </c>
      <c r="F12" s="46">
        <f>IF($A12="","",IFERROR(INDEX(Comps!$W$20:$AF$20,MATCH($A12,Comps!$W$5:$AF$5,0)),"NM"))</f>
        <v/>
      </c>
      <c r="G12" s="46">
        <f>IF($A12="","",IFERROR(INDEX(Comps!$W$19:$AF$19,MATCH($A12,Comps!$W$5:$AF$5,0)),"NM"))</f>
        <v/>
      </c>
      <c r="H12" s="46">
        <f>IF($A12="","",IFERROR(INDEX(Comps!$W$17:$AF$17,MATCH($A12,Comps!$W$5:$AF$5,0)),"NM"))</f>
        <v/>
      </c>
      <c r="I12" s="58">
        <f>IF($A12="","",IF(AND(ISNUMBER(F12),ISNUMBER($D12),ISNUMBER($C$5)),IF($D12&gt;0,MAX(0,(F12*$D12-IF($C12="EV",$C$6,0))/$C$5),"NM"),"NM"))</f>
        <v/>
      </c>
      <c r="J12" s="58">
        <f>IF($A12="","",IF(AND(ISNUMBER(G12),ISNUMBER($D12),ISNUMBER($C$5)),IF($D12&gt;0,MAX(0,(G12*$D12-IF($C12="EV",$C$6,0))/$C$5),"NM"),"NM"))</f>
        <v/>
      </c>
      <c r="K12" s="58">
        <f>IF($A12="","",IF(AND(ISNUMBER(H12),ISNUMBER($D12),ISNUMBER($C$5)),IF($D12&gt;0,MAX(0,(H12*$D12-IF($C12="EV",$C$6,0))/$C$5),"NM"),"NM"))</f>
        <v/>
      </c>
      <c r="L12" s="19">
        <f>IF($A12="","",IF(ISNUMBER(J12),J12/$C$4-1,"NM"))</f>
        <v/>
      </c>
      <c r="M12" s="59">
        <f>IF($A12="","",Dashboard!$C24)</f>
        <v/>
      </c>
    </row>
    <row r="13">
      <c r="A13" s="55">
        <f>IF(Dashboard!$B25="","",Dashboard!$B25)</f>
        <v/>
      </c>
      <c r="B13" s="56">
        <f>IF($A13="","",IFERROR(INDEX(Lists!$B$2:$B$11,MATCH($A13,Lists!$A$2:$A$11,0)),"?"))</f>
        <v/>
      </c>
      <c r="C13" s="57">
        <f>IF($A13="","",IFERROR(INDEX(Lists!$C$2:$C$11,MATCH($A13,Lists!$A$2:$A$11,0)),"?"))</f>
        <v/>
      </c>
      <c r="D13" s="45">
        <f>IF($A13="","",IFERROR(INDEX(Comps!$A$6:$T$6,MATCH($B13,Comps!$A$5:$T$5,0)),"NM"))</f>
        <v/>
      </c>
      <c r="E13" s="46">
        <f>IF($A13="","",IFERROR(INDEX(Comps!$W$6:$AF$6,MATCH($A13,Comps!$W$5:$AF$5,0)),"NM"))</f>
        <v/>
      </c>
      <c r="F13" s="46">
        <f>IF($A13="","",IFERROR(INDEX(Comps!$W$20:$AF$20,MATCH($A13,Comps!$W$5:$AF$5,0)),"NM"))</f>
        <v/>
      </c>
      <c r="G13" s="46">
        <f>IF($A13="","",IFERROR(INDEX(Comps!$W$19:$AF$19,MATCH($A13,Comps!$W$5:$AF$5,0)),"NM"))</f>
        <v/>
      </c>
      <c r="H13" s="46">
        <f>IF($A13="","",IFERROR(INDEX(Comps!$W$17:$AF$17,MATCH($A13,Comps!$W$5:$AF$5,0)),"NM"))</f>
        <v/>
      </c>
      <c r="I13" s="58">
        <f>IF($A13="","",IF(AND(ISNUMBER(F13),ISNUMBER($D13),ISNUMBER($C$5)),IF($D13&gt;0,MAX(0,(F13*$D13-IF($C13="EV",$C$6,0))/$C$5),"NM"),"NM"))</f>
        <v/>
      </c>
      <c r="J13" s="58">
        <f>IF($A13="","",IF(AND(ISNUMBER(G13),ISNUMBER($D13),ISNUMBER($C$5)),IF($D13&gt;0,MAX(0,(G13*$D13-IF($C13="EV",$C$6,0))/$C$5),"NM"),"NM"))</f>
        <v/>
      </c>
      <c r="K13" s="58">
        <f>IF($A13="","",IF(AND(ISNUMBER(H13),ISNUMBER($D13),ISNUMBER($C$5)),IF($D13&gt;0,MAX(0,(H13*$D13-IF($C13="EV",$C$6,0))/$C$5),"NM"),"NM"))</f>
        <v/>
      </c>
      <c r="L13" s="19">
        <f>IF($A13="","",IF(ISNUMBER(J13),J13/$C$4-1,"NM"))</f>
        <v/>
      </c>
      <c r="M13" s="59">
        <f>IF($A13="","",Dashboard!$C25)</f>
        <v/>
      </c>
    </row>
    <row r="14">
      <c r="A14" s="55">
        <f>IF(Dashboard!$B26="","",Dashboard!$B26)</f>
        <v/>
      </c>
      <c r="B14" s="56">
        <f>IF($A14="","",IFERROR(INDEX(Lists!$B$2:$B$11,MATCH($A14,Lists!$A$2:$A$11,0)),"?"))</f>
        <v/>
      </c>
      <c r="C14" s="57">
        <f>IF($A14="","",IFERROR(INDEX(Lists!$C$2:$C$11,MATCH($A14,Lists!$A$2:$A$11,0)),"?"))</f>
        <v/>
      </c>
      <c r="D14" s="45">
        <f>IF($A14="","",IFERROR(INDEX(Comps!$A$6:$T$6,MATCH($B14,Comps!$A$5:$T$5,0)),"NM"))</f>
        <v/>
      </c>
      <c r="E14" s="46">
        <f>IF($A14="","",IFERROR(INDEX(Comps!$W$6:$AF$6,MATCH($A14,Comps!$W$5:$AF$5,0)),"NM"))</f>
        <v/>
      </c>
      <c r="F14" s="46">
        <f>IF($A14="","",IFERROR(INDEX(Comps!$W$20:$AF$20,MATCH($A14,Comps!$W$5:$AF$5,0)),"NM"))</f>
        <v/>
      </c>
      <c r="G14" s="46">
        <f>IF($A14="","",IFERROR(INDEX(Comps!$W$19:$AF$19,MATCH($A14,Comps!$W$5:$AF$5,0)),"NM"))</f>
        <v/>
      </c>
      <c r="H14" s="46">
        <f>IF($A14="","",IFERROR(INDEX(Comps!$W$17:$AF$17,MATCH($A14,Comps!$W$5:$AF$5,0)),"NM"))</f>
        <v/>
      </c>
      <c r="I14" s="58">
        <f>IF($A14="","",IF(AND(ISNUMBER(F14),ISNUMBER($D14),ISNUMBER($C$5)),IF($D14&gt;0,MAX(0,(F14*$D14-IF($C14="EV",$C$6,0))/$C$5),"NM"),"NM"))</f>
        <v/>
      </c>
      <c r="J14" s="58">
        <f>IF($A14="","",IF(AND(ISNUMBER(G14),ISNUMBER($D14),ISNUMBER($C$5)),IF($D14&gt;0,MAX(0,(G14*$D14-IF($C14="EV",$C$6,0))/$C$5),"NM"),"NM"))</f>
        <v/>
      </c>
      <c r="K14" s="58">
        <f>IF($A14="","",IF(AND(ISNUMBER(H14),ISNUMBER($D14),ISNUMBER($C$5)),IF($D14&gt;0,MAX(0,(H14*$D14-IF($C14="EV",$C$6,0))/$C$5),"NM"),"NM"))</f>
        <v/>
      </c>
      <c r="L14" s="19">
        <f>IF($A14="","",IF(ISNUMBER(J14),J14/$C$4-1,"NM"))</f>
        <v/>
      </c>
      <c r="M14" s="59">
        <f>IF($A14="","",Dashboard!$C26)</f>
        <v/>
      </c>
    </row>
    <row r="16">
      <c r="A16" s="23" t="inlineStr">
        <is>
          <t>Blended implied price (avg. of 'Y' rows)</t>
        </is>
      </c>
      <c r="I16" s="60">
        <f>IFERROR(AVERAGEIFS(I9:I14,$M$9:$M$14,"Y"),"NM")</f>
        <v/>
      </c>
      <c r="J16" s="60">
        <f>IFERROR(AVERAGEIFS(J9:J14,$M$9:$M$14,"Y"),"NM")</f>
        <v/>
      </c>
      <c r="K16" s="60">
        <f>IFERROR(AVERAGEIFS(K9:K14,$M$9:$M$14,"Y"),"NM")</f>
        <v/>
      </c>
      <c r="L16" s="51">
        <f>IF(ISNUMBER(J16),J16/$C$4-1,"NM")</f>
        <v/>
      </c>
    </row>
  </sheetData>
  <conditionalFormatting sqref="L9:L16">
    <cfRule type="expression" priority="1" dxfId="0">
      <formula>AND(ISNUMBER(L9),L9&lt;0)</formula>
    </cfRule>
  </conditionalFormatting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N2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30" customWidth="1" min="3" max="3"/>
    <col width="26" customWidth="1" min="4" max="4"/>
    <col width="14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1" customWidth="1" min="13" max="13"/>
    <col width="11" customWidth="1" min="14" max="14"/>
  </cols>
  <sheetData>
    <row r="1">
      <c r="A1" s="8" t="inlineStr">
        <is>
          <t>Peer Candidate Screen</t>
        </is>
      </c>
    </row>
    <row r="2">
      <c r="A2" s="34" t="inlineStr">
        <is>
          <t>Every candidate considered, ranked by similarity (0–100). Weights: industry 35, investor grouping 10, size 20, revenue growth 15, EBITDA margin 10, gross margin 10.</t>
        </is>
      </c>
    </row>
    <row r="4" ht="30" customHeight="1">
      <c r="A4" s="15" t="inlineStr">
        <is>
          <t>Rank</t>
        </is>
      </c>
      <c r="B4" s="15" t="inlineStr">
        <is>
          <t>Ticker</t>
        </is>
      </c>
      <c r="C4" s="15" t="inlineStr">
        <is>
          <t>Company</t>
        </is>
      </c>
      <c r="D4" s="15" t="inlineStr">
        <is>
          <t>Industry</t>
        </is>
      </c>
      <c r="E4" s="15" t="inlineStr">
        <is>
          <t>Market cap ($mm)</t>
        </is>
      </c>
      <c r="F4" s="15" t="inlineStr">
        <is>
          <t>Rev growth</t>
        </is>
      </c>
      <c r="G4" s="15" t="inlineStr">
        <is>
          <t>EBITDA margin</t>
        </is>
      </c>
      <c r="H4" s="15" t="inlineStr">
        <is>
          <t>Industry pts</t>
        </is>
      </c>
      <c r="I4" s="15" t="inlineStr">
        <is>
          <t>Investor pts</t>
        </is>
      </c>
      <c r="J4" s="15" t="inlineStr">
        <is>
          <t>Size pts</t>
        </is>
      </c>
      <c r="K4" s="15" t="inlineStr">
        <is>
          <t>Growth pts</t>
        </is>
      </c>
      <c r="L4" s="15" t="inlineStr">
        <is>
          <t>EBITDA mgn pts</t>
        </is>
      </c>
      <c r="M4" s="15" t="inlineStr">
        <is>
          <t>Gross mgn pts</t>
        </is>
      </c>
      <c r="N4" s="15" t="inlineStr">
        <is>
          <t>Total score</t>
        </is>
      </c>
    </row>
    <row r="5">
      <c r="A5" s="28" t="n">
        <v>1</v>
      </c>
      <c r="B5" s="61" t="inlineStr">
        <is>
          <t>BABA</t>
        </is>
      </c>
      <c r="C5" s="28" t="inlineStr">
        <is>
          <t>Alibaba Group Holding Limited</t>
        </is>
      </c>
      <c r="D5" s="28" t="inlineStr">
        <is>
          <t>Internet Retail</t>
        </is>
      </c>
      <c r="E5" s="30" t="n">
        <v>320000</v>
      </c>
      <c r="F5" s="44" t="n">
        <v>0.06</v>
      </c>
      <c r="G5" s="44" t="n">
        <v>0.1811594202898551</v>
      </c>
      <c r="H5" s="62" t="n">
        <v>35</v>
      </c>
      <c r="I5" s="62" t="n">
        <v>0</v>
      </c>
      <c r="J5" s="62" t="n">
        <v>11.2</v>
      </c>
      <c r="K5" s="62" t="n">
        <v>12.5</v>
      </c>
      <c r="L5" s="62" t="n">
        <v>8.800000000000001</v>
      </c>
      <c r="M5" s="62" t="n">
        <v>7.7</v>
      </c>
      <c r="N5" s="63" t="n">
        <v>75.2</v>
      </c>
    </row>
    <row r="6">
      <c r="A6" s="28" t="n">
        <v>2</v>
      </c>
      <c r="B6" s="61" t="inlineStr">
        <is>
          <t>PDD</t>
        </is>
      </c>
      <c r="C6" s="28" t="inlineStr">
        <is>
          <t>PDD Holdings Inc.</t>
        </is>
      </c>
      <c r="D6" s="28" t="inlineStr">
        <is>
          <t>Internet Retail</t>
        </is>
      </c>
      <c r="E6" s="30" t="n">
        <v>170000</v>
      </c>
      <c r="F6" s="44" t="n">
        <v>0.1</v>
      </c>
      <c r="G6" s="44" t="n">
        <v>0.2857142857142857</v>
      </c>
      <c r="H6" s="62" t="n">
        <v>35</v>
      </c>
      <c r="I6" s="62" t="n">
        <v>0</v>
      </c>
      <c r="J6" s="62" t="n">
        <v>8.5</v>
      </c>
      <c r="K6" s="62" t="n">
        <v>14.5</v>
      </c>
      <c r="L6" s="62" t="n">
        <v>7.7</v>
      </c>
      <c r="M6" s="62" t="n">
        <v>7.6</v>
      </c>
      <c r="N6" s="63" t="n">
        <v>73.3</v>
      </c>
    </row>
    <row r="7">
      <c r="A7" s="28" t="n">
        <v>3</v>
      </c>
      <c r="B7" s="61" t="inlineStr">
        <is>
          <t>MELI</t>
        </is>
      </c>
      <c r="C7" s="28" t="inlineStr">
        <is>
          <t>MercadoLibre, Inc.</t>
        </is>
      </c>
      <c r="D7" s="28" t="inlineStr">
        <is>
          <t>Internet Retail</t>
        </is>
      </c>
      <c r="E7" s="30" t="n">
        <v>120000</v>
      </c>
      <c r="F7" s="44" t="n">
        <v>0.37</v>
      </c>
      <c r="G7" s="44" t="n">
        <v>0.15</v>
      </c>
      <c r="H7" s="62" t="n">
        <v>35</v>
      </c>
      <c r="I7" s="62" t="n">
        <v>0</v>
      </c>
      <c r="J7" s="62" t="n">
        <v>7</v>
      </c>
      <c r="K7" s="62" t="n">
        <v>2</v>
      </c>
      <c r="L7" s="62" t="n">
        <v>7.8</v>
      </c>
      <c r="M7" s="62" t="n">
        <v>9.1</v>
      </c>
      <c r="N7" s="63" t="n">
        <v>60.9</v>
      </c>
    </row>
    <row r="8">
      <c r="A8" s="28" t="n">
        <v>4</v>
      </c>
      <c r="B8" s="61" t="inlineStr">
        <is>
          <t>EBAY</t>
        </is>
      </c>
      <c r="C8" s="28" t="inlineStr">
        <is>
          <t>eBay Inc.</t>
        </is>
      </c>
      <c r="D8" s="28" t="inlineStr">
        <is>
          <t>Internet Retail</t>
        </is>
      </c>
      <c r="E8" s="30" t="n">
        <v>41000</v>
      </c>
      <c r="F8" s="44" t="n">
        <v>0.04</v>
      </c>
      <c r="G8" s="44" t="n">
        <v>0.3142857142857143</v>
      </c>
      <c r="H8" s="62" t="n">
        <v>35</v>
      </c>
      <c r="I8" s="62" t="n">
        <v>0</v>
      </c>
      <c r="J8" s="62" t="n">
        <v>2.3</v>
      </c>
      <c r="K8" s="62" t="n">
        <v>11.5</v>
      </c>
      <c r="L8" s="62" t="n">
        <v>6.7</v>
      </c>
      <c r="M8" s="62" t="n">
        <v>4.7</v>
      </c>
      <c r="N8" s="63" t="n">
        <v>60.3</v>
      </c>
    </row>
    <row r="9">
      <c r="A9" s="28" t="n">
        <v>5</v>
      </c>
      <c r="B9" s="61" t="inlineStr">
        <is>
          <t>CPNG</t>
        </is>
      </c>
      <c r="C9" s="28" t="inlineStr">
        <is>
          <t>Coupang, Inc.</t>
        </is>
      </c>
      <c r="D9" s="28" t="inlineStr">
        <is>
          <t>Internet Retail</t>
        </is>
      </c>
      <c r="E9" s="30" t="n">
        <v>54000</v>
      </c>
      <c r="F9" s="44" t="n">
        <v>0.18</v>
      </c>
      <c r="G9" s="44" t="n">
        <v>0.04848484848484848</v>
      </c>
      <c r="H9" s="62" t="n">
        <v>35</v>
      </c>
      <c r="I9" s="62" t="n">
        <v>0</v>
      </c>
      <c r="J9" s="62" t="n">
        <v>3.5</v>
      </c>
      <c r="K9" s="62" t="n">
        <v>11.5</v>
      </c>
      <c r="L9" s="62" t="n">
        <v>4.4</v>
      </c>
      <c r="M9" s="62" t="n">
        <v>5.3</v>
      </c>
      <c r="N9" s="63" t="n">
        <v>59.7</v>
      </c>
    </row>
    <row r="10">
      <c r="A10" s="28" t="n">
        <v>6</v>
      </c>
      <c r="B10" s="61" t="inlineStr">
        <is>
          <t>JD</t>
        </is>
      </c>
      <c r="C10" s="28" t="inlineStr">
        <is>
          <t>JD.com, Inc.</t>
        </is>
      </c>
      <c r="D10" s="28" t="inlineStr">
        <is>
          <t>Internet Retail</t>
        </is>
      </c>
      <c r="E10" s="30" t="n">
        <v>50000</v>
      </c>
      <c r="F10" s="44" t="n">
        <v>0.11</v>
      </c>
      <c r="G10" s="44" t="n">
        <v>0.040625</v>
      </c>
      <c r="H10" s="62" t="n">
        <v>35</v>
      </c>
      <c r="I10" s="62" t="n">
        <v>0</v>
      </c>
      <c r="J10" s="62" t="n">
        <v>3.2</v>
      </c>
      <c r="K10" s="62" t="n">
        <v>15</v>
      </c>
      <c r="L10" s="62" t="n">
        <v>4.1</v>
      </c>
      <c r="M10" s="62" t="n">
        <v>1.6</v>
      </c>
      <c r="N10" s="63" t="n">
        <v>58.9</v>
      </c>
    </row>
    <row r="11">
      <c r="A11" s="28" t="n">
        <v>7</v>
      </c>
      <c r="B11" s="61" t="inlineStr">
        <is>
          <t>CHWY</t>
        </is>
      </c>
      <c r="C11" s="28" t="inlineStr">
        <is>
          <t>Chewy, Inc.</t>
        </is>
      </c>
      <c r="D11" s="28" t="inlineStr">
        <is>
          <t>Internet Retail</t>
        </is>
      </c>
      <c r="E11" s="30" t="n">
        <v>16000</v>
      </c>
      <c r="F11" s="44" t="n">
        <v>0.08</v>
      </c>
      <c r="G11" s="44" t="n">
        <v>0.05</v>
      </c>
      <c r="H11" s="62" t="n">
        <v>35</v>
      </c>
      <c r="I11" s="62" t="n">
        <v>0</v>
      </c>
      <c r="J11" s="62" t="n">
        <v>0</v>
      </c>
      <c r="K11" s="62" t="n">
        <v>13.5</v>
      </c>
      <c r="L11" s="62" t="n">
        <v>4.5</v>
      </c>
      <c r="M11" s="62" t="n">
        <v>5</v>
      </c>
      <c r="N11" s="63" t="n">
        <v>57.9</v>
      </c>
    </row>
    <row r="12">
      <c r="A12" s="28" t="n">
        <v>8</v>
      </c>
      <c r="B12" s="61" t="inlineStr">
        <is>
          <t>GOOGL</t>
        </is>
      </c>
      <c r="C12" s="28" t="inlineStr">
        <is>
          <t>Alphabet Inc.</t>
        </is>
      </c>
      <c r="D12" s="28" t="inlineStr">
        <is>
          <t>Internet Content &amp; Information</t>
        </is>
      </c>
      <c r="E12" s="30" t="n">
        <v>2900000</v>
      </c>
      <c r="F12" s="44" t="n">
        <v>0.14</v>
      </c>
      <c r="G12" s="44" t="n">
        <v>0.3896103896103896</v>
      </c>
      <c r="H12" s="62" t="n">
        <v>0</v>
      </c>
      <c r="I12" s="62" t="n">
        <v>10</v>
      </c>
      <c r="J12" s="62" t="n">
        <v>19.2</v>
      </c>
      <c r="K12" s="62" t="n">
        <v>13.5</v>
      </c>
      <c r="L12" s="62" t="n">
        <v>4.2</v>
      </c>
      <c r="M12" s="62" t="n">
        <v>7.4</v>
      </c>
      <c r="N12" s="63" t="n">
        <v>54.3</v>
      </c>
    </row>
    <row r="13">
      <c r="A13" s="28" t="n">
        <v>9</v>
      </c>
      <c r="B13" s="61" t="inlineStr">
        <is>
          <t>WMT</t>
        </is>
      </c>
      <c r="C13" s="28" t="inlineStr">
        <is>
          <t>Walmart Inc.</t>
        </is>
      </c>
      <c r="D13" s="28" t="inlineStr">
        <is>
          <t>Discount Stores</t>
        </is>
      </c>
      <c r="E13" s="30" t="n">
        <v>800000</v>
      </c>
      <c r="F13" s="44" t="n">
        <v>0.05</v>
      </c>
      <c r="G13" s="44" t="n">
        <v>0.06086956521739131</v>
      </c>
      <c r="H13" s="62" t="n">
        <v>0</v>
      </c>
      <c r="I13" s="62" t="n">
        <v>10</v>
      </c>
      <c r="J13" s="62" t="n">
        <v>15.2</v>
      </c>
      <c r="K13" s="62" t="n">
        <v>12</v>
      </c>
      <c r="L13" s="62" t="n">
        <v>4.8</v>
      </c>
      <c r="M13" s="62" t="n">
        <v>3.8</v>
      </c>
      <c r="N13" s="63" t="n">
        <v>45.9</v>
      </c>
    </row>
    <row r="14">
      <c r="A14" s="28" t="n">
        <v>10</v>
      </c>
      <c r="B14" s="61" t="inlineStr">
        <is>
          <t>MSFT</t>
        </is>
      </c>
      <c r="C14" s="28" t="inlineStr">
        <is>
          <t>Microsoft Corporation</t>
        </is>
      </c>
      <c r="D14" s="28" t="inlineStr">
        <is>
          <t>Software - Infrastructure</t>
        </is>
      </c>
      <c r="E14" s="30" t="n">
        <v>3800000</v>
      </c>
      <c r="F14" s="44" t="n">
        <v>0.16</v>
      </c>
      <c r="G14" s="44" t="n">
        <v>0.5517241379310345</v>
      </c>
      <c r="H14" s="62" t="n">
        <v>0</v>
      </c>
      <c r="I14" s="62" t="n">
        <v>10</v>
      </c>
      <c r="J14" s="62" t="n">
        <v>18</v>
      </c>
      <c r="K14" s="62" t="n">
        <v>12.5</v>
      </c>
      <c r="L14" s="62" t="n">
        <v>0</v>
      </c>
      <c r="M14" s="62" t="n">
        <v>5.1</v>
      </c>
      <c r="N14" s="63" t="n">
        <v>45.6</v>
      </c>
    </row>
    <row r="15">
      <c r="A15" s="28" t="n">
        <v>11</v>
      </c>
      <c r="B15" s="61" t="inlineStr">
        <is>
          <t>META</t>
        </is>
      </c>
      <c r="C15" s="28" t="inlineStr">
        <is>
          <t>Meta Platforms, Inc.</t>
        </is>
      </c>
      <c r="D15" s="28" t="inlineStr">
        <is>
          <t>Internet Content &amp; Information</t>
        </is>
      </c>
      <c r="E15" s="30" t="n">
        <v>1800000</v>
      </c>
      <c r="F15" s="44" t="n">
        <v>0.2</v>
      </c>
      <c r="G15" s="44" t="n">
        <v>0.5405405405405406</v>
      </c>
      <c r="H15" s="62" t="n">
        <v>0</v>
      </c>
      <c r="I15" s="62" t="n">
        <v>10</v>
      </c>
      <c r="J15" s="62" t="n">
        <v>18.8</v>
      </c>
      <c r="K15" s="62" t="n">
        <v>10.5</v>
      </c>
      <c r="L15" s="62" t="n">
        <v>0</v>
      </c>
      <c r="M15" s="62" t="n">
        <v>2</v>
      </c>
      <c r="N15" s="63" t="n">
        <v>41.3</v>
      </c>
    </row>
    <row r="16">
      <c r="A16" s="28" t="n"/>
      <c r="B16" s="61" t="n"/>
      <c r="C16" s="28" t="n"/>
      <c r="D16" s="28" t="n"/>
      <c r="E16" s="30" t="n"/>
      <c r="F16" s="44" t="n"/>
      <c r="G16" s="44" t="n"/>
      <c r="H16" s="62" t="n"/>
      <c r="I16" s="62" t="n"/>
      <c r="J16" s="62" t="n"/>
      <c r="K16" s="62" t="n"/>
      <c r="L16" s="62" t="n"/>
      <c r="M16" s="62" t="n"/>
      <c r="N16" s="63" t="n"/>
    </row>
    <row r="17">
      <c r="A17" s="28" t="n"/>
      <c r="B17" s="61" t="n"/>
      <c r="C17" s="28" t="n"/>
      <c r="D17" s="28" t="n"/>
      <c r="E17" s="30" t="n"/>
      <c r="F17" s="44" t="n"/>
      <c r="G17" s="44" t="n"/>
      <c r="H17" s="62" t="n"/>
      <c r="I17" s="62" t="n"/>
      <c r="J17" s="62" t="n"/>
      <c r="K17" s="62" t="n"/>
      <c r="L17" s="62" t="n"/>
      <c r="M17" s="62" t="n"/>
      <c r="N17" s="63" t="n"/>
    </row>
    <row r="18">
      <c r="A18" s="28" t="n"/>
      <c r="B18" s="61" t="n"/>
      <c r="C18" s="28" t="n"/>
      <c r="D18" s="28" t="n"/>
      <c r="E18" s="30" t="n"/>
      <c r="F18" s="44" t="n"/>
      <c r="G18" s="44" t="n"/>
      <c r="H18" s="62" t="n"/>
      <c r="I18" s="62" t="n"/>
      <c r="J18" s="62" t="n"/>
      <c r="K18" s="62" t="n"/>
      <c r="L18" s="62" t="n"/>
      <c r="M18" s="62" t="n"/>
      <c r="N18" s="63" t="n"/>
    </row>
    <row r="19">
      <c r="A19" s="28" t="n"/>
      <c r="B19" s="61" t="n"/>
      <c r="C19" s="28" t="n"/>
      <c r="D19" s="28" t="n"/>
      <c r="E19" s="30" t="n"/>
      <c r="F19" s="44" t="n"/>
      <c r="G19" s="44" t="n"/>
      <c r="H19" s="62" t="n"/>
      <c r="I19" s="62" t="n"/>
      <c r="J19" s="62" t="n"/>
      <c r="K19" s="62" t="n"/>
      <c r="L19" s="62" t="n"/>
      <c r="M19" s="62" t="n"/>
      <c r="N19" s="63" t="n"/>
    </row>
    <row r="20">
      <c r="A20" s="28" t="n"/>
      <c r="B20" s="61" t="n"/>
      <c r="C20" s="28" t="n"/>
      <c r="D20" s="28" t="n"/>
      <c r="E20" s="30" t="n"/>
      <c r="F20" s="44" t="n"/>
      <c r="G20" s="44" t="n"/>
      <c r="H20" s="62" t="n"/>
      <c r="I20" s="62" t="n"/>
      <c r="J20" s="62" t="n"/>
      <c r="K20" s="62" t="n"/>
      <c r="L20" s="62" t="n"/>
      <c r="M20" s="62" t="n"/>
      <c r="N20" s="63" t="n"/>
    </row>
    <row r="21">
      <c r="A21" s="28" t="n"/>
      <c r="B21" s="61" t="n"/>
      <c r="C21" s="28" t="n"/>
      <c r="D21" s="28" t="n"/>
      <c r="E21" s="30" t="n"/>
      <c r="F21" s="44" t="n"/>
      <c r="G21" s="44" t="n"/>
      <c r="H21" s="62" t="n"/>
      <c r="I21" s="62" t="n"/>
      <c r="J21" s="62" t="n"/>
      <c r="K21" s="62" t="n"/>
      <c r="L21" s="62" t="n"/>
      <c r="M21" s="62" t="n"/>
      <c r="N21" s="63" t="n"/>
    </row>
    <row r="22">
      <c r="A22" s="28" t="n"/>
      <c r="B22" s="61" t="n"/>
      <c r="C22" s="28" t="n"/>
      <c r="D22" s="28" t="n"/>
      <c r="E22" s="30" t="n"/>
      <c r="F22" s="44" t="n"/>
      <c r="G22" s="44" t="n"/>
      <c r="H22" s="62" t="n"/>
      <c r="I22" s="62" t="n"/>
      <c r="J22" s="62" t="n"/>
      <c r="K22" s="62" t="n"/>
      <c r="L22" s="62" t="n"/>
      <c r="M22" s="62" t="n"/>
      <c r="N22" s="63" t="n"/>
    </row>
    <row r="23">
      <c r="A23" s="28" t="n"/>
      <c r="B23" s="61" t="n"/>
      <c r="C23" s="28" t="n"/>
      <c r="D23" s="28" t="n"/>
      <c r="E23" s="30" t="n"/>
      <c r="F23" s="44" t="n"/>
      <c r="G23" s="44" t="n"/>
      <c r="H23" s="62" t="n"/>
      <c r="I23" s="62" t="n"/>
      <c r="J23" s="62" t="n"/>
      <c r="K23" s="62" t="n"/>
      <c r="L23" s="62" t="n"/>
      <c r="M23" s="62" t="n"/>
      <c r="N23" s="63" t="n"/>
    </row>
    <row r="24">
      <c r="A24" s="28" t="n"/>
      <c r="B24" s="61" t="n"/>
      <c r="C24" s="28" t="n"/>
      <c r="D24" s="28" t="n"/>
      <c r="E24" s="30" t="n"/>
      <c r="F24" s="44" t="n"/>
      <c r="G24" s="44" t="n"/>
      <c r="H24" s="62" t="n"/>
      <c r="I24" s="62" t="n"/>
      <c r="J24" s="62" t="n"/>
      <c r="K24" s="62" t="n"/>
      <c r="L24" s="62" t="n"/>
      <c r="M24" s="62" t="n"/>
      <c r="N24" s="63" t="n"/>
    </row>
    <row r="25">
      <c r="A25" s="28" t="n"/>
      <c r="B25" s="61" t="n"/>
      <c r="C25" s="28" t="n"/>
      <c r="D25" s="28" t="n"/>
      <c r="E25" s="30" t="n"/>
      <c r="F25" s="44" t="n"/>
      <c r="G25" s="44" t="n"/>
      <c r="H25" s="62" t="n"/>
      <c r="I25" s="62" t="n"/>
      <c r="J25" s="62" t="n"/>
      <c r="K25" s="62" t="n"/>
      <c r="L25" s="62" t="n"/>
      <c r="M25" s="62" t="n"/>
      <c r="N25" s="63" t="n"/>
    </row>
    <row r="26">
      <c r="A26" s="28" t="n"/>
      <c r="B26" s="61" t="n"/>
      <c r="C26" s="28" t="n"/>
      <c r="D26" s="28" t="n"/>
      <c r="E26" s="30" t="n"/>
      <c r="F26" s="44" t="n"/>
      <c r="G26" s="44" t="n"/>
      <c r="H26" s="62" t="n"/>
      <c r="I26" s="62" t="n"/>
      <c r="J26" s="62" t="n"/>
      <c r="K26" s="62" t="n"/>
      <c r="L26" s="62" t="n"/>
      <c r="M26" s="62" t="n"/>
      <c r="N26" s="63" t="n"/>
    </row>
    <row r="27">
      <c r="A27" s="28" t="n"/>
      <c r="B27" s="61" t="n"/>
      <c r="C27" s="28" t="n"/>
      <c r="D27" s="28" t="n"/>
      <c r="E27" s="30" t="n"/>
      <c r="F27" s="44" t="n"/>
      <c r="G27" s="44" t="n"/>
      <c r="H27" s="62" t="n"/>
      <c r="I27" s="62" t="n"/>
      <c r="J27" s="62" t="n"/>
      <c r="K27" s="62" t="n"/>
      <c r="L27" s="62" t="n"/>
      <c r="M27" s="62" t="n"/>
      <c r="N27" s="63" t="n"/>
    </row>
    <row r="28">
      <c r="A28" s="28" t="n"/>
      <c r="B28" s="61" t="n"/>
      <c r="C28" s="28" t="n"/>
      <c r="D28" s="28" t="n"/>
      <c r="E28" s="30" t="n"/>
      <c r="F28" s="44" t="n"/>
      <c r="G28" s="44" t="n"/>
      <c r="H28" s="62" t="n"/>
      <c r="I28" s="62" t="n"/>
      <c r="J28" s="62" t="n"/>
      <c r="K28" s="62" t="n"/>
      <c r="L28" s="62" t="n"/>
      <c r="M28" s="62" t="n"/>
      <c r="N28" s="63" t="n"/>
    </row>
    <row r="29">
      <c r="A29" s="28" t="n"/>
      <c r="B29" s="61" t="n"/>
      <c r="C29" s="28" t="n"/>
      <c r="D29" s="28" t="n"/>
      <c r="E29" s="30" t="n"/>
      <c r="F29" s="44" t="n"/>
      <c r="G29" s="44" t="n"/>
      <c r="H29" s="62" t="n"/>
      <c r="I29" s="62" t="n"/>
      <c r="J29" s="62" t="n"/>
      <c r="K29" s="62" t="n"/>
      <c r="L29" s="62" t="n"/>
      <c r="M29" s="62" t="n"/>
      <c r="N29" s="63" t="n"/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9" customWidth="1" min="3" max="3"/>
    <col width="80" customWidth="1" min="4" max="4"/>
    <col width="9" customWidth="1" min="5" max="5"/>
  </cols>
  <sheetData>
    <row r="1" ht="30" customHeight="1">
      <c r="A1" s="15" t="inlineStr">
        <is>
          <t>Multiple</t>
        </is>
      </c>
      <c r="B1" s="15" t="inlineStr">
        <is>
          <t>Target metric (Comps header)</t>
        </is>
      </c>
      <c r="C1" s="15" t="inlineStr">
        <is>
          <t>Type</t>
        </is>
      </c>
      <c r="D1" s="15" t="inlineStr">
        <is>
          <t>Why use it</t>
        </is>
      </c>
      <c r="E1" s="15" t="inlineStr">
        <is>
          <t>NM cap</t>
        </is>
      </c>
    </row>
    <row r="2">
      <c r="A2" s="2" t="inlineStr">
        <is>
          <t>EV / LTM Revenue</t>
        </is>
      </c>
      <c r="B2" s="56" t="inlineStr">
        <is>
          <t>LTM Revenue ($mm)</t>
        </is>
      </c>
      <c r="C2" s="56" t="inlineStr">
        <is>
          <t>EV</t>
        </is>
      </c>
      <c r="D2" s="56" t="inlineStr">
        <is>
          <t>Capital-structure neutral; works even when earnings are depressed.</t>
        </is>
      </c>
      <c r="E2" s="64">
        <f>Comps!W$4</f>
        <v/>
      </c>
    </row>
    <row r="3">
      <c r="A3" s="2" t="inlineStr">
        <is>
          <t>EV / NTM Revenue</t>
        </is>
      </c>
      <c r="B3" s="56" t="inlineStr">
        <is>
          <t>NTM Revenue ($mm)</t>
        </is>
      </c>
      <c r="C3" s="56" t="inlineStr">
        <is>
          <t>EV</t>
        </is>
      </c>
      <c r="D3" s="56" t="inlineStr">
        <is>
          <t>Forward revenue captures growth the market is already pricing in.</t>
        </is>
      </c>
      <c r="E3" s="64">
        <f>Comps!X$4</f>
        <v/>
      </c>
    </row>
    <row r="4">
      <c r="A4" s="2" t="inlineStr">
        <is>
          <t>EV / Gross Profit</t>
        </is>
      </c>
      <c r="B4" s="56" t="inlineStr">
        <is>
          <t>LTM Gross Profit ($mm)</t>
        </is>
      </c>
      <c r="C4" s="56" t="inlineStr">
        <is>
          <t>EV</t>
        </is>
      </c>
      <c r="D4" s="56" t="inlineStr">
        <is>
          <t>Normalises for different revenue mixes (e.g. marketplace vs. 1P sales).</t>
        </is>
      </c>
      <c r="E4" s="64">
        <f>Comps!Y$4</f>
        <v/>
      </c>
    </row>
    <row r="5">
      <c r="A5" s="2" t="inlineStr">
        <is>
          <t>EV / EBITDA</t>
        </is>
      </c>
      <c r="B5" s="56" t="inlineStr">
        <is>
          <t>LTM EBITDA ($mm)</t>
        </is>
      </c>
      <c r="C5" s="56" t="inlineStr">
        <is>
          <t>EV</t>
        </is>
      </c>
      <c r="D5" s="56" t="inlineStr">
        <is>
          <t>Most common cross-company multiple: ignores leverage, tax and D&amp;A differences.</t>
        </is>
      </c>
      <c r="E5" s="64">
        <f>Comps!Z$4</f>
        <v/>
      </c>
    </row>
    <row r="6">
      <c r="A6" s="2" t="inlineStr">
        <is>
          <t>EV / EBIT</t>
        </is>
      </c>
      <c r="B6" s="56" t="inlineStr">
        <is>
          <t>LTM EBIT ($mm)</t>
        </is>
      </c>
      <c r="C6" s="56" t="inlineStr">
        <is>
          <t>EV</t>
        </is>
      </c>
      <c r="D6" s="56" t="inlineStr">
        <is>
          <t>Like EV/EBITDA but charges for capex intensity via D&amp;A.</t>
        </is>
      </c>
      <c r="E6" s="64">
        <f>Comps!AA$4</f>
        <v/>
      </c>
    </row>
    <row r="7">
      <c r="A7" s="2" t="inlineStr">
        <is>
          <t>P / E (LTM)</t>
        </is>
      </c>
      <c r="B7" s="56" t="inlineStr">
        <is>
          <t>LTM Net Income ($mm)</t>
        </is>
      </c>
      <c r="C7" s="56" t="inlineStr">
        <is>
          <t>Equity</t>
        </is>
      </c>
      <c r="D7" s="56" t="inlineStr">
        <is>
          <t>What investors pay per dollar of trailing earnings to equity holders.</t>
        </is>
      </c>
      <c r="E7" s="64">
        <f>Comps!AB$4</f>
        <v/>
      </c>
    </row>
    <row r="8">
      <c r="A8" s="2" t="inlineStr">
        <is>
          <t>P / E (Forward)</t>
        </is>
      </c>
      <c r="B8" s="56" t="inlineStr">
        <is>
          <t>Forward Earnings ($mm)</t>
        </is>
      </c>
      <c r="C8" s="56" t="inlineStr">
        <is>
          <t>Equity</t>
        </is>
      </c>
      <c r="D8" s="56" t="inlineStr">
        <is>
          <t>Market's primary equity multiple; based on consensus next-year EPS.</t>
        </is>
      </c>
      <c r="E8" s="64">
        <f>Comps!AC$4</f>
        <v/>
      </c>
    </row>
    <row r="9">
      <c r="A9" s="2" t="inlineStr">
        <is>
          <t>P / FCF</t>
        </is>
      </c>
      <c r="B9" s="56" t="inlineStr">
        <is>
          <t>LTM FCF ($mm)</t>
        </is>
      </c>
      <c r="C9" s="56" t="inlineStr">
        <is>
          <t>Equity</t>
        </is>
      </c>
      <c r="D9" s="56" t="inlineStr">
        <is>
          <t>Cash actually generated for shareholders after capex.</t>
        </is>
      </c>
      <c r="E9" s="64">
        <f>Comps!AD$4</f>
        <v/>
      </c>
    </row>
    <row r="10">
      <c r="A10" s="2" t="inlineStr">
        <is>
          <t>P / Operating Cash Flow</t>
        </is>
      </c>
      <c r="B10" s="56" t="inlineStr">
        <is>
          <t>LTM Op. Cash Flow ($mm)</t>
        </is>
      </c>
      <c r="C10" s="56" t="inlineStr">
        <is>
          <t>Equity</t>
        </is>
      </c>
      <c r="D10" s="56" t="inlineStr">
        <is>
          <t>Cash earnings before capex; a proxy for FFO in real estate.</t>
        </is>
      </c>
      <c r="E10" s="64">
        <f>Comps!AE$4</f>
        <v/>
      </c>
    </row>
    <row r="11">
      <c r="A11" s="2" t="inlineStr">
        <is>
          <t>P / Book</t>
        </is>
      </c>
      <c r="B11" s="56" t="inlineStr">
        <is>
          <t>Book Value ($mm)</t>
        </is>
      </c>
      <c r="C11" s="56" t="inlineStr">
        <is>
          <t>Equity</t>
        </is>
      </c>
      <c r="D11" s="56" t="inlineStr">
        <is>
          <t>Key for balance-sheet businesses where assets are marked near fair value.</t>
        </is>
      </c>
      <c r="E11" s="64">
        <f>Comps!AF$4</f>
        <v/>
      </c>
    </row>
    <row r="13">
      <c r="A13" s="52" t="inlineStr">
        <is>
          <t>Lookup table used by the Dashboard dropdowns and the Valuation sheet. Edit the 'Why use it' text freely; keep the first three columns as they are.</t>
        </is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1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10" customWidth="1" min="2" max="2"/>
  </cols>
  <sheetData>
    <row r="1">
      <c r="A1" s="13" t="inlineStr">
        <is>
          <t>How to use</t>
        </is>
      </c>
    </row>
    <row r="2">
      <c r="A2" s="2" t="inlineStr">
        <is>
          <t>1</t>
        </is>
      </c>
      <c r="B2" s="65" t="inlineStr">
        <is>
          <t>Type a company name ('Amazon') or ticker ('AMZN') into the yellow cell on the Dashboard.</t>
        </is>
      </c>
    </row>
    <row r="3">
      <c r="A3" s="2" t="inlineStr">
        <is>
          <t>2</t>
        </is>
      </c>
      <c r="B3" s="65" t="inlineStr">
        <is>
          <t>Click the xlwings ribbon tab → Run main. Python pulls Yahoo Finance data, picks peers and multiples, and writes them into the blue cells. Everything else is formulas.</t>
        </is>
      </c>
    </row>
    <row r="4">
      <c r="A4" s="2" t="inlineStr">
        <is>
          <t>3</t>
        </is>
      </c>
      <c r="B4" s="65" t="inlineStr">
        <is>
          <t>Change the multiples with the dropdowns and the Y/N blend flags on the Dashboard – no refresh needed. Overwrite any blue input on the Comps sheet to test your own numbers.</t>
        </is>
      </c>
    </row>
    <row r="5">
      <c r="A5" s="2" t="inlineStr">
        <is>
          <t>Keep the name</t>
        </is>
      </c>
      <c r="B5" s="65" t="inlineStr">
        <is>
          <t>Run main calls the Python file with the same name as the workbook (CompsModel.py). To keep a snapshot of a company, use File → Save a Copy.</t>
        </is>
      </c>
    </row>
    <row r="6">
      <c r="A6" s="13" t="inlineStr"/>
    </row>
    <row r="7">
      <c r="A7" s="13" t="inlineStr">
        <is>
          <t>Methodology</t>
        </is>
      </c>
    </row>
    <row r="8">
      <c r="A8" s="2" t="inlineStr">
        <is>
          <t>Peers</t>
        </is>
      </c>
      <c r="B8" s="65" t="inlineStr">
        <is>
          <t>Candidates come from Yahoo's industry constituents, Yahoo's 'people also watch' list and (if thin) sector leaders, scored on industry, investor grouping, size, growth and margins.</t>
        </is>
      </c>
    </row>
    <row r="9">
      <c r="A9" s="2" t="inlineStr">
        <is>
          <t>Multiples</t>
        </is>
      </c>
      <c r="B9" s="65" t="inlineStr">
        <is>
          <t>Picked by profile (financial, REIT, unprofitable, high-growth, capital-intensive, mature). EV = market cap + total debt − cash.</t>
        </is>
      </c>
    </row>
    <row r="10">
      <c r="A10" s="2" t="inlineStr">
        <is>
          <t>NM</t>
        </is>
      </c>
      <c r="B10" s="65" t="inlineStr">
        <is>
          <t>Not meaningful: negative/zero denominator or above the cap in row 4 of Comps. Excluded from stats.</t>
        </is>
      </c>
    </row>
    <row r="11">
      <c r="A11" s="2" t="inlineStr">
        <is>
          <t>NTM Revenue</t>
        </is>
      </c>
      <c r="B11" s="65" t="inlineStr">
        <is>
          <t>Time-weighted blend of consensus current-FY and next-FY revenue.</t>
        </is>
      </c>
    </row>
    <row r="12">
      <c r="A12" s="2" t="inlineStr">
        <is>
          <t>Fwd Earnings</t>
        </is>
      </c>
      <c r="B12" s="65" t="inlineStr">
        <is>
          <t>Market cap ÷ Yahoo forward P/E (consensus next fiscal year EPS).</t>
        </is>
      </c>
    </row>
    <row r="13">
      <c r="A13" s="2" t="inlineStr">
        <is>
          <t>EBIT</t>
        </is>
      </c>
      <c r="B13" s="65" t="inlineStr">
        <is>
          <t>LTM revenue × LTM operating margin.</t>
        </is>
      </c>
    </row>
    <row r="14">
      <c r="A14" s="2" t="inlineStr">
        <is>
          <t>Currency</t>
        </is>
      </c>
      <c r="B14" s="65" t="inlineStr">
        <is>
          <t>ADR financials are converted to the trading currency at spot FX.</t>
        </is>
      </c>
    </row>
    <row r="15">
      <c r="A15" s="2" t="inlineStr">
        <is>
          <t>Limitations</t>
        </is>
      </c>
      <c r="B15" s="65" t="inlineStr">
        <is>
          <t>Yahoo data can lag filings and is not adjusted for one-offs, leases, minority interest or preferreds. Sanity-check key inputs against the 10-K/10-Q before presenting.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2026-10-07T18:33:41Z</dcterms:created>
  <dcterms:modified xmlns:dcterms="http://purl.org/dc/terms/" xmlns:xsi="http://www.w3.org/2001/XMLSchema-instance" xsi:type="dcterms:W3CDTF">2026-10-07T18:33:41Z</dcterms:modified>
</cp:coreProperties>
</file>